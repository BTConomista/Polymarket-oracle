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Info" sheetId="2" r:id="rId6"/>
    <sheet name="Giocatori" sheetId="3" r:id="rId7"/>
    <sheet name="Squadre" sheetId="4" r:id="rId8"/>
    <sheet name="Ballottaggi" sheetId="5" r:id="rId9"/>
    <sheet name="Piazzati" sheetId="6" r:id="rId10"/>
    <sheet name="Note" sheetId="7" r:id="rId11"/>
    <sheet name="PuntiChiave" sheetId="8" r:id="rId12"/>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<sst xmlns="http://schemas.openxmlformats.org/spreadsheetml/2006/main" uniqueCount="1126">
  <si>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</si>
  <si>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</si>
  <si>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</si>
  <si>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</si>
  <si>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Info</t>
  </si>
  <si>
    <t>Table 1</t>
  </si>
  <si>
    <t>Guida all'Asta 26/27</t>
  </si>
  <si>
    <t>Guida aggiornata al</t>
  </si>
  <si>
    <t>18/08/26 (data indicata dal sito)</t>
  </si>
  <si>
    <t>Data estrazione</t>
  </si>
  <si>
    <t>18/08/2026 09:39 (ora locale del server)</t>
  </si>
  <si>
    <t>Squadre estratte</t>
  </si>
  <si>
    <t>Giocatori estratti</t>
  </si>
  <si>
    <t>FOGLI</t>
  </si>
  <si>
    <t>Giocatori</t>
  </si>
  <si>
    <t>Rosa completa di ogni squadra con statistiche e tutti i flag (titolare, rigorista, ballottaggio, valorizzato...)</t>
  </si>
  <si>
    <t>Squadre</t>
  </si>
  <si>
    <t>Una riga per squadra: modulo, allenatore, valutazione attacco/difesa, XI titolare, punti chiave, schema ruoli</t>
  </si>
  <si>
    <t>Ballottaggi</t>
  </si>
  <si>
    <t>Tutti i duelli di formazione con le percentuali</t>
  </si>
  <si>
    <t>Piazzati</t>
  </si>
  <si>
    <t>Gerarchie di rigori, punizioni e calci d'angolo</t>
  </si>
  <si>
    <t>Note</t>
  </si>
  <si>
    <t>Valorizzati, penalizzati, nomi nascosti e giovani con le relative motivazioni</t>
  </si>
  <si>
    <t>PuntiChiave</t>
  </si>
  <si>
    <t>I punti chiave tattici di ogni allenatore, uno per riga</t>
  </si>
  <si>
    <t>LEGENDA COLONNE</t>
  </si>
  <si>
    <t>Ruolo</t>
  </si>
  <si>
    <t>P = portiere, D = difensore, C = centrocampista, A = attaccante (ruoli Classic)</t>
  </si>
  <si>
    <t>Titolarità</t>
  </si>
  <si>
    <t>Probabilità di essere titolare stimata (95%, 75%, 50%, 25%, 1%)</t>
  </si>
  <si>
    <t>MV</t>
  </si>
  <si>
    <t>Media voto della scorsa stagione. 0 = nessun dato disponibile (es. nuovi acquisti dall'estero)</t>
  </si>
  <si>
    <t>FMV</t>
  </si>
  <si>
    <t>Fantamedia voto della scorsa stagione. 0 = nessun dato disponibile</t>
  </si>
  <si>
    <t>PMA</t>
  </si>
  <si>
    <t>Percentuale media d'asta: quota del budget spesa in media per il giocatore. Valore dinamico: è una fotografia del momento dell'estrazione, cambia nel tempo</t>
  </si>
  <si>
    <t>Attacco / Difesa</t>
  </si>
  <si>
    <t>Valutazione della squadra in stelle su 5 (mezze stelle incluse)</t>
  </si>
  <si>
    <t>Ruoli chiave</t>
  </si>
  <si>
    <t>Schema dei ruoli Mantra del modulo tipo, dall'attacco al portiere</t>
  </si>
  <si>
    <t>Ballottaggio</t>
  </si>
  <si>
    <t>Percentuali e avversari nel duello per il posto da titolare</t>
  </si>
  <si>
    <t>NOTE</t>
  </si>
  <si>
    <t>Dati mancanti</t>
  </si>
  <si>
    <t>Nella sezione "Penalizzati" del Bologna il sito mostra una nota senza giocatore associato: è riportata con ruolo e nome vuoti</t>
  </si>
  <si>
    <t>Percentuali ballottaggi</t>
  </si>
  <si>
    <t>Nei ballottaggi a 3 il sito espone solo la percentuale del primo e dell'ultimo giocatore</t>
  </si>
  <si>
    <t>Ballottaggio Frosinone</t>
  </si>
  <si>
    <t>Masini - Koutsoupias: il sito non mostra le percentuali</t>
  </si>
  <si>
    <t>Squadra</t>
  </si>
  <si>
    <t>Giocatore</t>
  </si>
  <si>
    <t>Titolare XI</t>
  </si>
  <si>
    <t>Rigorista</t>
  </si>
  <si>
    <t>Punizioni</t>
  </si>
  <si>
    <t>Corner</t>
  </si>
  <si>
    <t>Valorizzato</t>
  </si>
  <si>
    <t>Penalizzato</t>
  </si>
  <si>
    <t>Nome nascosto</t>
  </si>
  <si>
    <t>Giovane</t>
  </si>
  <si>
    <t>Note guida</t>
  </si>
  <si>
    <t>Atalanta</t>
  </si>
  <si>
    <t>P</t>
  </si>
  <si>
    <t>Carnesecchi</t>
  </si>
  <si>
    <t>Sì</t>
  </si>
  <si>
    <t>Sportiello</t>
  </si>
  <si>
    <t>Vismara</t>
  </si>
  <si>
    <t>D</t>
  </si>
  <si>
    <t>Bernasconi</t>
  </si>
  <si>
    <t>51% vs Ahanor</t>
  </si>
  <si>
    <t>Giovane: Esterno equilibrato in entrambe le fasi</t>
  </si>
  <si>
    <t>Scalvini</t>
  </si>
  <si>
    <t>Valorizzato: Difesa di Sarri solida</t>
  </si>
  <si>
    <t>Kristensen T.</t>
  </si>
  <si>
    <t>55% vs Kolasinac</t>
  </si>
  <si>
    <t>Zappacosta</t>
  </si>
  <si>
    <t>55% vs Bellanova</t>
  </si>
  <si>
    <t>Ahanor</t>
  </si>
  <si>
    <t>49% vs Bernasconi</t>
  </si>
  <si>
    <t>Bellanova</t>
  </si>
  <si>
    <t>45% vs Zappacosta</t>
  </si>
  <si>
    <t>Hien</t>
  </si>
  <si>
    <t>Kolasinac</t>
  </si>
  <si>
    <t>45% vs Kristensen T.</t>
  </si>
  <si>
    <t>Kossounou</t>
  </si>
  <si>
    <t>Penalizzato: Parte indietro nelle gerarchie del mister</t>
  </si>
  <si>
    <t>C</t>
  </si>
  <si>
    <t>Ederson D.s.</t>
  </si>
  <si>
    <t>De Roon</t>
  </si>
  <si>
    <t>49% vs Gaetano</t>
  </si>
  <si>
    <t>Penalizzato: Con Sarri posizionamento più arretrato</t>
  </si>
  <si>
    <t>Gaetano</t>
  </si>
  <si>
    <t>51% vs De Roon</t>
  </si>
  <si>
    <t>Pasalic</t>
  </si>
  <si>
    <t>49% vs Samardzic</t>
  </si>
  <si>
    <t>Samardzic</t>
  </si>
  <si>
    <t>51% vs Pasalic</t>
  </si>
  <si>
    <t>Nome nascosto: Sarri può rigenerarlo</t>
  </si>
  <si>
    <t>Zalewski</t>
  </si>
  <si>
    <t>Sulemana I.</t>
  </si>
  <si>
    <t>A</t>
  </si>
  <si>
    <t>De Ketelaere</t>
  </si>
  <si>
    <t>Raspadori</t>
  </si>
  <si>
    <t>Valorizzato: Adattabile anche al centro; Esterni di Sarri prolifici; Rotazioni elevate nel suo ruolo</t>
  </si>
  <si>
    <t>Krstovic</t>
  </si>
  <si>
    <t>49% vs Scamacca</t>
  </si>
  <si>
    <t>Scamacca</t>
  </si>
  <si>
    <t>51% vs Krstovic</t>
  </si>
  <si>
    <t>Sulemana K.</t>
  </si>
  <si>
    <t>Bologna</t>
  </si>
  <si>
    <t>Skorupski</t>
  </si>
  <si>
    <t>Pessina Mas.</t>
  </si>
  <si>
    <t>Happonen</t>
  </si>
  <si>
    <t>Miranda J.</t>
  </si>
  <si>
    <t>Heggem</t>
  </si>
  <si>
    <t>Vitik</t>
  </si>
  <si>
    <t>Zortea</t>
  </si>
  <si>
    <t>51% vs Holm</t>
  </si>
  <si>
    <t>Alhassane</t>
  </si>
  <si>
    <t>Holm</t>
  </si>
  <si>
    <t>49% vs Zortea</t>
  </si>
  <si>
    <t>Casale</t>
  </si>
  <si>
    <t>De Silvestri</t>
  </si>
  <si>
    <t>Helland</t>
  </si>
  <si>
    <t>Orsolini</t>
  </si>
  <si>
    <t>Valorizzato: Perno offensivo del gioco del mister; Maggiore minutaggio rispetto all'anno scorso</t>
  </si>
  <si>
    <t>Pobega</t>
  </si>
  <si>
    <t>55% vs Moro N.</t>
  </si>
  <si>
    <t>Rowe</t>
  </si>
  <si>
    <t>Valorizzato: Caratteristiche in linea con gli esterni del mister; Poca concorrenza</t>
  </si>
  <si>
    <t>Bernardeschi</t>
  </si>
  <si>
    <t>60% vs Odgaard</t>
  </si>
  <si>
    <t>Nome nascosto: Duttile tatticamente. Usato in più ruoli.</t>
  </si>
  <si>
    <t>Cambiaghi</t>
  </si>
  <si>
    <t>Ferguson</t>
  </si>
  <si>
    <t>Moro N.</t>
  </si>
  <si>
    <t>45% vs Pobega</t>
  </si>
  <si>
    <t>Odgaard</t>
  </si>
  <si>
    <t>40% vs Bernardeschi</t>
  </si>
  <si>
    <t>Amondarain</t>
  </si>
  <si>
    <t>El Azzouzi O.</t>
  </si>
  <si>
    <t>Dovbyk</t>
  </si>
  <si>
    <t>55% vs Piccoli</t>
  </si>
  <si>
    <t>Piccoli</t>
  </si>
  <si>
    <t>45% vs Dovbyk</t>
  </si>
  <si>
    <t>Cagliari</t>
  </si>
  <si>
    <t>Caprile</t>
  </si>
  <si>
    <t>Radunovic</t>
  </si>
  <si>
    <t>Sherri</t>
  </si>
  <si>
    <t>Mina</t>
  </si>
  <si>
    <t>51% vs Deiola</t>
  </si>
  <si>
    <t>Obert</t>
  </si>
  <si>
    <t>Valorizzato: Buoni cross anche dai piazzati; Utilizzato in più posizioni nella fase difensiva</t>
  </si>
  <si>
    <t>Rodriguez Ju.</t>
  </si>
  <si>
    <t>Zè Pedro</t>
  </si>
  <si>
    <t>55% vs Zappa</t>
  </si>
  <si>
    <t>Zappa</t>
  </si>
  <si>
    <t>45% vs Zè Pedro</t>
  </si>
  <si>
    <t>Penalizzato: Sistema molto difensivo potrebbe penalizzarlo</t>
  </si>
  <si>
    <t>Idrissi R.</t>
  </si>
  <si>
    <t>Kofler</t>
  </si>
  <si>
    <t>Aurelio</t>
  </si>
  <si>
    <t>Adopo</t>
  </si>
  <si>
    <t>Fazzini</t>
  </si>
  <si>
    <t>Valorizzato: Voluto fortemente da Pisacane; Propensione al bonus; Dubbio su integrità fisica</t>
  </si>
  <si>
    <t>Romano</t>
  </si>
  <si>
    <t>Nome nascosto: Forte nelle transizioni offensive</t>
  </si>
  <si>
    <t>Winks</t>
  </si>
  <si>
    <t>Deiola</t>
  </si>
  <si>
    <t>49% vs Mina</t>
  </si>
  <si>
    <t>Felici</t>
  </si>
  <si>
    <t>Liteta</t>
  </si>
  <si>
    <t>Prati</t>
  </si>
  <si>
    <t>Kevin Carlos</t>
  </si>
  <si>
    <t>34% vs Mendy P. / Borrelli</t>
  </si>
  <si>
    <t>Maldini</t>
  </si>
  <si>
    <t>Borrelli</t>
  </si>
  <si>
    <t>33% vs Kevin Carlos / Mendy P.</t>
  </si>
  <si>
    <t>Mendy P.</t>
  </si>
  <si>
    <t>vs Kevin Carlos / Borrelli</t>
  </si>
  <si>
    <t>Giovane: Può facilmente ritagliarsi spazio</t>
  </si>
  <si>
    <t>Mutandwa</t>
  </si>
  <si>
    <t>Trepy</t>
  </si>
  <si>
    <t>Albarracin</t>
  </si>
  <si>
    <t>Esposito Se.</t>
  </si>
  <si>
    <t>Como</t>
  </si>
  <si>
    <t>Butez</t>
  </si>
  <si>
    <t>Tornqvist</t>
  </si>
  <si>
    <t>Vigorito</t>
  </si>
  <si>
    <t>Chalobah T.</t>
  </si>
  <si>
    <t>Couto</t>
  </si>
  <si>
    <t>51% vs Smolcic I.</t>
  </si>
  <si>
    <t>Ramon</t>
  </si>
  <si>
    <t>55% vs Kempf</t>
  </si>
  <si>
    <t>Kaiki</t>
  </si>
  <si>
    <t>49% vs Valle</t>
  </si>
  <si>
    <t>Kempf</t>
  </si>
  <si>
    <t>45% vs Ramon</t>
  </si>
  <si>
    <t>Smolcic I.</t>
  </si>
  <si>
    <t>49% vs Couto</t>
  </si>
  <si>
    <t>Valle</t>
  </si>
  <si>
    <t>51% vs Kaiki</t>
  </si>
  <si>
    <t>Penalizzato: Ruolo in cui Fabregas fa molto turnover</t>
  </si>
  <si>
    <t>Cuenca A.</t>
  </si>
  <si>
    <t>Van Der Brempt</t>
  </si>
  <si>
    <t>Goldaniga</t>
  </si>
  <si>
    <t>Da Cunha</t>
  </si>
  <si>
    <t>Valorizzato: Duttile Tatticamente</t>
  </si>
  <si>
    <t>Paz N.</t>
  </si>
  <si>
    <t>Baturina</t>
  </si>
  <si>
    <t>Perrone</t>
  </si>
  <si>
    <t>60% vs Milla</t>
  </si>
  <si>
    <t>Caqueret</t>
  </si>
  <si>
    <t>Liberali</t>
  </si>
  <si>
    <t>Giovane: Doti tecniche perfette per il gioco di Fabregas</t>
  </si>
  <si>
    <t>Milla</t>
  </si>
  <si>
    <t>40% vs Perrone</t>
  </si>
  <si>
    <t>Rodriguez Je.</t>
  </si>
  <si>
    <t>40% vs Diao</t>
  </si>
  <si>
    <t>Addai</t>
  </si>
  <si>
    <t>Fadera</t>
  </si>
  <si>
    <t>Lahdo</t>
  </si>
  <si>
    <t>Douvikas</t>
  </si>
  <si>
    <t>Valorizzato: Gioco della squadra molto offensivo; Fluidità della manovra crea spazi per la punta</t>
  </si>
  <si>
    <t>Diao</t>
  </si>
  <si>
    <t>60% vs Rodriguez Je.</t>
  </si>
  <si>
    <t>Nome nascosto: Abile in fase di finalizzazione</t>
  </si>
  <si>
    <t>Azon</t>
  </si>
  <si>
    <t>Kuhn</t>
  </si>
  <si>
    <t>Morata</t>
  </si>
  <si>
    <t>Penalizzato: Non ancora integrato al meglio nel sistema di gioco</t>
  </si>
  <si>
    <t>Fiorentina</t>
  </si>
  <si>
    <t>De Gea</t>
  </si>
  <si>
    <t>Christensen O.</t>
  </si>
  <si>
    <t>Lezzerini</t>
  </si>
  <si>
    <t>Dragusin</t>
  </si>
  <si>
    <t>Jimenez A.</t>
  </si>
  <si>
    <t>51% vs Joao Mario</t>
  </si>
  <si>
    <t>Valorizzato: Duttile tatticamente; Usato sia come terzino che ala offensiva</t>
  </si>
  <si>
    <t>Valdepenas</t>
  </si>
  <si>
    <t>Viery</t>
  </si>
  <si>
    <t>51% vs Ranieri L.</t>
  </si>
  <si>
    <t>Dodò</t>
  </si>
  <si>
    <t>Joao Mario</t>
  </si>
  <si>
    <t>49% vs Jimenez A.</t>
  </si>
  <si>
    <t>Pongracic</t>
  </si>
  <si>
    <t>Ranieri L.</t>
  </si>
  <si>
    <t>49% vs Viery</t>
  </si>
  <si>
    <t>Penalizzato: Può soffrire il sistema offensivo del mister; Titolarità non garantita</t>
  </si>
  <si>
    <t>Parisi</t>
  </si>
  <si>
    <t>Atta</t>
  </si>
  <si>
    <t>Valorizzato: Mezz'ali di grosso prolifiche; Caratteristiche compatibili con il gioco di Grosso</t>
  </si>
  <si>
    <t>Fagioli</t>
  </si>
  <si>
    <t>Mastantuono</t>
  </si>
  <si>
    <t>Gudmundsson A.</t>
  </si>
  <si>
    <t>49% vs Ndour</t>
  </si>
  <si>
    <t>Mandragora</t>
  </si>
  <si>
    <t>Ndour</t>
  </si>
  <si>
    <t>51% vs Gudmundsson A.</t>
  </si>
  <si>
    <t>Nome nascosto: Giocatore fisico che può entrare facilmente nelle rotazioni</t>
  </si>
  <si>
    <t>Oulai</t>
  </si>
  <si>
    <t>Giovane: Giocatore di gamba che proverà a ritagliarsi un ruolo importante</t>
  </si>
  <si>
    <t>Brescianini</t>
  </si>
  <si>
    <t>Penalizzato: Parte dietro nelle gerarchie</t>
  </si>
  <si>
    <t>Fabbian</t>
  </si>
  <si>
    <t>Kean</t>
  </si>
  <si>
    <t>60% vs Pellegrino M.</t>
  </si>
  <si>
    <t>Pellegrino M.</t>
  </si>
  <si>
    <t>40% vs Kean</t>
  </si>
  <si>
    <t>Frosinone</t>
  </si>
  <si>
    <t>Desplanches</t>
  </si>
  <si>
    <t>49% vs Palmisani</t>
  </si>
  <si>
    <t>Palmisani</t>
  </si>
  <si>
    <t>51% vs Desplanches</t>
  </si>
  <si>
    <t>Lolic</t>
  </si>
  <si>
    <t>Pisseri</t>
  </si>
  <si>
    <t>Akpoguma</t>
  </si>
  <si>
    <t>Oyono A.</t>
  </si>
  <si>
    <t>Bracaglia</t>
  </si>
  <si>
    <t>Calvani</t>
  </si>
  <si>
    <t>49% vs Monterisi</t>
  </si>
  <si>
    <t>Monterisi</t>
  </si>
  <si>
    <t>51% vs Calvani</t>
  </si>
  <si>
    <t>Penalizzato: Porpensione al malus; Adattamento in Serie A</t>
  </si>
  <si>
    <t>Terzic</t>
  </si>
  <si>
    <t>Oyono J.</t>
  </si>
  <si>
    <t>Amey</t>
  </si>
  <si>
    <t>Cittadini</t>
  </si>
  <si>
    <t>Corrado</t>
  </si>
  <si>
    <t>Gelli J.</t>
  </si>
  <si>
    <t>Calò</t>
  </si>
  <si>
    <t>45% vs Grillitsch</t>
  </si>
  <si>
    <t>Valorizzato: Leader della squadra; Fulcro del gioco; Calcia tutti i piazzati</t>
  </si>
  <si>
    <t>Schmid</t>
  </si>
  <si>
    <t>El Azzouzi A.</t>
  </si>
  <si>
    <t>Grillitsch</t>
  </si>
  <si>
    <t>55% vs Calò</t>
  </si>
  <si>
    <t>Zerbin</t>
  </si>
  <si>
    <t>49% vs Kvernadze</t>
  </si>
  <si>
    <t>Nome nascosto: Duttilità tattica, fisico ma anche molto dinamico</t>
  </si>
  <si>
    <t>Gelli F.</t>
  </si>
  <si>
    <t>Hasa</t>
  </si>
  <si>
    <t>Koutsoupias</t>
  </si>
  <si>
    <t>% vs Masini</t>
  </si>
  <si>
    <t>Masini</t>
  </si>
  <si>
    <t>% vs Koutsoupias</t>
  </si>
  <si>
    <t>Cichella</t>
  </si>
  <si>
    <t>Fini</t>
  </si>
  <si>
    <t>Giovane: Ottime doti atletiche e nell'1vs1 lo rendono il cambio ideale a partita in corso</t>
  </si>
  <si>
    <t>Kone B.</t>
  </si>
  <si>
    <t>Ghedjemis</t>
  </si>
  <si>
    <t>Valorizzato: Uomo chiave nel gioco del mister; Buone doti di finalizzazione</t>
  </si>
  <si>
    <t>Raimondo</t>
  </si>
  <si>
    <t>Kvernadze</t>
  </si>
  <si>
    <t>51% vs Zerbin</t>
  </si>
  <si>
    <t>Genoa</t>
  </si>
  <si>
    <t>Bijlow</t>
  </si>
  <si>
    <t>Sommariva</t>
  </si>
  <si>
    <t>Stolz</t>
  </si>
  <si>
    <t>Marcandalli</t>
  </si>
  <si>
    <t>Nome nascosto: Caratteristiche compatibili con il sistema difensivo</t>
  </si>
  <si>
    <t>Norton-Cuffy</t>
  </si>
  <si>
    <t>Ostigard</t>
  </si>
  <si>
    <t>Valorizzato: Sistema difensivo esalta le sue caratteristiche; Prolifico nei calci piazzati</t>
  </si>
  <si>
    <t>Vasquez</t>
  </si>
  <si>
    <t>Mitaj</t>
  </si>
  <si>
    <t>51% vs Ellertsson</t>
  </si>
  <si>
    <t>Martin</t>
  </si>
  <si>
    <t>Penalizzato: Titolarità non garantita</t>
  </si>
  <si>
    <t>Otoa</t>
  </si>
  <si>
    <t>Puczka</t>
  </si>
  <si>
    <t>Giovane: Può giocare in tutti i ruoli della fascia</t>
  </si>
  <si>
    <t>Sabelli</t>
  </si>
  <si>
    <t>Matturro</t>
  </si>
  <si>
    <t>Frendrup</t>
  </si>
  <si>
    <t>Sow</t>
  </si>
  <si>
    <t>Amorim</t>
  </si>
  <si>
    <t>Baldanzi</t>
  </si>
  <si>
    <t>51% vs Traorè Hj.</t>
  </si>
  <si>
    <t>Valorizzato: Fantasista della squadra; Svaria su tutto il fronte offensivo</t>
  </si>
  <si>
    <t>Ellertsson</t>
  </si>
  <si>
    <t>49% vs Mitaj</t>
  </si>
  <si>
    <t>Meichtry</t>
  </si>
  <si>
    <t>49% vs Vitinha O.</t>
  </si>
  <si>
    <t>Traorè Hj.</t>
  </si>
  <si>
    <t>49% vs Baldanzi</t>
  </si>
  <si>
    <t>Messias</t>
  </si>
  <si>
    <t>Venturino</t>
  </si>
  <si>
    <t>Colombo</t>
  </si>
  <si>
    <t>Vitinha O.</t>
  </si>
  <si>
    <t>51% vs Meichtry</t>
  </si>
  <si>
    <t>Havel</t>
  </si>
  <si>
    <t>Inter</t>
  </si>
  <si>
    <t>Martinez Jo.</t>
  </si>
  <si>
    <t>55% vs Provedel</t>
  </si>
  <si>
    <t>Provedel</t>
  </si>
  <si>
    <t>45% vs Martinez Jo.</t>
  </si>
  <si>
    <t>Di Gennaro</t>
  </si>
  <si>
    <t>Akanji</t>
  </si>
  <si>
    <t>Bastoni</t>
  </si>
  <si>
    <t>Dimarco</t>
  </si>
  <si>
    <t>Valorizzato: Minutaggio elevati e costante; Ruolo offensivo nel gioco di Chivu</t>
  </si>
  <si>
    <t>Bisseck</t>
  </si>
  <si>
    <t>45% vs Stones</t>
  </si>
  <si>
    <t>Carlos Augusto</t>
  </si>
  <si>
    <t>Spence</t>
  </si>
  <si>
    <t>60% vs Diouf</t>
  </si>
  <si>
    <t>Stones</t>
  </si>
  <si>
    <t>55% vs Bisseck</t>
  </si>
  <si>
    <t>Pavard</t>
  </si>
  <si>
    <t>Barella</t>
  </si>
  <si>
    <t>Calhanoglu</t>
  </si>
  <si>
    <t>Zielinski</t>
  </si>
  <si>
    <t>55% vs Sucic P.</t>
  </si>
  <si>
    <t>Diouf</t>
  </si>
  <si>
    <t>51% vs Luis Henrique | 40% vs Spence</t>
  </si>
  <si>
    <t>Nome nascosto: Esterno offensivo da bonus; Indisciplinato nella fase difensiva</t>
  </si>
  <si>
    <t>Luis Henrique</t>
  </si>
  <si>
    <t>49% vs Diouf</t>
  </si>
  <si>
    <t>Penalizzato: Indietro nelle gerarchie</t>
  </si>
  <si>
    <t>Mkhitaryan</t>
  </si>
  <si>
    <t>Sucic P.</t>
  </si>
  <si>
    <t>45% vs Zielinski</t>
  </si>
  <si>
    <t>Stankovic A.</t>
  </si>
  <si>
    <t>Martinez L.</t>
  </si>
  <si>
    <t>Valorizzato: Bravo a giocare con tutti gli attaccanti delle rotazioni; Fulcro del gioco</t>
  </si>
  <si>
    <t>Thuram</t>
  </si>
  <si>
    <t>Bonny</t>
  </si>
  <si>
    <t>Esposito F.p.</t>
  </si>
  <si>
    <t>Giovane: Gioca bene con entrambi gli attaccanti titolari</t>
  </si>
  <si>
    <t>Juventus</t>
  </si>
  <si>
    <t>Di Gregorio</t>
  </si>
  <si>
    <t>Perin</t>
  </si>
  <si>
    <t>Pinsoglio</t>
  </si>
  <si>
    <t>Bremer</t>
  </si>
  <si>
    <t>Cambiaso</t>
  </si>
  <si>
    <t>Kalulu</t>
  </si>
  <si>
    <t>Celik</t>
  </si>
  <si>
    <t>Gatti</t>
  </si>
  <si>
    <t>Kelly L.</t>
  </si>
  <si>
    <t>40% vs Lucumì</t>
  </si>
  <si>
    <t>Nome nascosto: Rendimento buono e continuo in termini di voti</t>
  </si>
  <si>
    <t>Lucumì</t>
  </si>
  <si>
    <t>60% vs Kelly L.</t>
  </si>
  <si>
    <t>Cabal</t>
  </si>
  <si>
    <t>Rugani</t>
  </si>
  <si>
    <t>Locatelli</t>
  </si>
  <si>
    <t>Mckennie</t>
  </si>
  <si>
    <t>Valorizzato: Prolifico negli inserimenti; Duttile tatticamente</t>
  </si>
  <si>
    <t>Alajbegovic</t>
  </si>
  <si>
    <t>51% vs Conceicao</t>
  </si>
  <si>
    <t>Thuram K.</t>
  </si>
  <si>
    <t>Conceicao</t>
  </si>
  <si>
    <t>49% vs Alajbegovic</t>
  </si>
  <si>
    <t>Douglas Luiz</t>
  </si>
  <si>
    <t>Koopmeiners</t>
  </si>
  <si>
    <t>Penalizzato: Posizionamento molto arretrato</t>
  </si>
  <si>
    <t>Miretti</t>
  </si>
  <si>
    <t>Zhegrova</t>
  </si>
  <si>
    <t>Penalizzato: Minutaggio molto ridotto</t>
  </si>
  <si>
    <t>Kolo Muani</t>
  </si>
  <si>
    <t>Yildiz</t>
  </si>
  <si>
    <t>Valorizzato: Riferimento del gioco offensivo; Svaria su tutto il fronte</t>
  </si>
  <si>
    <t>Boga</t>
  </si>
  <si>
    <t>David</t>
  </si>
  <si>
    <t>Ekhator</t>
  </si>
  <si>
    <t>Giovane: Buon potenziale ma tanta concorrenza</t>
  </si>
  <si>
    <t>Milik</t>
  </si>
  <si>
    <t>Lazio</t>
  </si>
  <si>
    <t>Mandas</t>
  </si>
  <si>
    <t>Motta</t>
  </si>
  <si>
    <t>Renzetti</t>
  </si>
  <si>
    <t>Doekhi</t>
  </si>
  <si>
    <t>Marusic</t>
  </si>
  <si>
    <t>Pedraza</t>
  </si>
  <si>
    <t>51% vs Tavares N.</t>
  </si>
  <si>
    <t>Nome nascosto: Gattuso richiede molta spinta dai terzini</t>
  </si>
  <si>
    <t>Provstgaard</t>
  </si>
  <si>
    <t>40% vs Romagnoli</t>
  </si>
  <si>
    <t>Giovane: Può ricavarsi molto spazio nelle gerarchie</t>
  </si>
  <si>
    <t>Romagnoli</t>
  </si>
  <si>
    <t>60% vs Provstgaard</t>
  </si>
  <si>
    <t>Tavares N.</t>
  </si>
  <si>
    <t>49% vs Pedraza</t>
  </si>
  <si>
    <t>Floriani Mussolini</t>
  </si>
  <si>
    <t>Lazzari</t>
  </si>
  <si>
    <t>Patric</t>
  </si>
  <si>
    <t>Pellegrini Lu.</t>
  </si>
  <si>
    <t>Taylor K.</t>
  </si>
  <si>
    <t>Valorizzato: Utile negli inserimenti richiesti dal mister; Propensione alla fase offensiva</t>
  </si>
  <si>
    <t>Zaccagni</t>
  </si>
  <si>
    <t>Valorizzato: Fantasista della squadra; Fulcro del gioco offensivo</t>
  </si>
  <si>
    <t>Cataldi</t>
  </si>
  <si>
    <t>45% vs Rovella</t>
  </si>
  <si>
    <t>Cancellieri</t>
  </si>
  <si>
    <t>40% vs Isaksen</t>
  </si>
  <si>
    <t>Dele-Bashiru</t>
  </si>
  <si>
    <t>Frattesi</t>
  </si>
  <si>
    <t>Isaksen</t>
  </si>
  <si>
    <t>60% vs Cancellieri</t>
  </si>
  <si>
    <t>Rovella</t>
  </si>
  <si>
    <t>55% vs Cataldi</t>
  </si>
  <si>
    <t>Penalizzato: Propensione a cartellini nel gioco di Gattuso</t>
  </si>
  <si>
    <t>Belahyane</t>
  </si>
  <si>
    <t>Przyborek</t>
  </si>
  <si>
    <t>Dia</t>
  </si>
  <si>
    <t>Noslin</t>
  </si>
  <si>
    <t>Ratkov</t>
  </si>
  <si>
    <t>Lecce</t>
  </si>
  <si>
    <t>Falcone</t>
  </si>
  <si>
    <t>Penev</t>
  </si>
  <si>
    <t>Gallo</t>
  </si>
  <si>
    <t>Tiago Gabriel</t>
  </si>
  <si>
    <t>Giovane: Riferimento difensivo della squadra</t>
  </si>
  <si>
    <t>Veiga D.</t>
  </si>
  <si>
    <t>Siebert</t>
  </si>
  <si>
    <t>Gaspar K.</t>
  </si>
  <si>
    <t>Ndaba</t>
  </si>
  <si>
    <t>Jean</t>
  </si>
  <si>
    <t>Coulibaly L.</t>
  </si>
  <si>
    <t>Valorizzato: Duttilità tattica; Fulcro del centrocampo</t>
  </si>
  <si>
    <t>Berisha M.</t>
  </si>
  <si>
    <t>49% vs Ngom</t>
  </si>
  <si>
    <t>Pierotti</t>
  </si>
  <si>
    <t>Gandelman</t>
  </si>
  <si>
    <t>Nome nascosto: Può giocare in diverse posizioni del fronte offensivo</t>
  </si>
  <si>
    <t>Maleh</t>
  </si>
  <si>
    <t>Kaba</t>
  </si>
  <si>
    <t>Ngom</t>
  </si>
  <si>
    <t>51% vs Berisha M.</t>
  </si>
  <si>
    <t>Fofana Sa.</t>
  </si>
  <si>
    <t>Gorter</t>
  </si>
  <si>
    <t>Geubbels</t>
  </si>
  <si>
    <t>51% vs Stulic</t>
  </si>
  <si>
    <t>N'dri</t>
  </si>
  <si>
    <t>Valorizzato: Ali fondamentali nel gioco di Di Franscesco; Utile nelle ripartenze</t>
  </si>
  <si>
    <t>Stulic</t>
  </si>
  <si>
    <t>49% vs Geubbels</t>
  </si>
  <si>
    <t>Milan</t>
  </si>
  <si>
    <t>Maignan</t>
  </si>
  <si>
    <t>Terracciano</t>
  </si>
  <si>
    <t>Torriani</t>
  </si>
  <si>
    <t>Bartesaghi</t>
  </si>
  <si>
    <t>Giovane: Rendimento solido e costante</t>
  </si>
  <si>
    <t>Gabbia</t>
  </si>
  <si>
    <t>Gila</t>
  </si>
  <si>
    <t>Pavlovic</t>
  </si>
  <si>
    <t>Tomori</t>
  </si>
  <si>
    <t>Penalizzato: Non adatto ai ruoli di impostazione richiesti dal mister</t>
  </si>
  <si>
    <t>De Winter</t>
  </si>
  <si>
    <t>Estupinan</t>
  </si>
  <si>
    <t>Diawara S.</t>
  </si>
  <si>
    <t>Modric</t>
  </si>
  <si>
    <t>Pulisic</t>
  </si>
  <si>
    <t>Valorizzato: Adattabile su tutto il fronte offensivo; Fantasista della squadra</t>
  </si>
  <si>
    <t>Rabiot</t>
  </si>
  <si>
    <t>Saelemaekers</t>
  </si>
  <si>
    <t>Chukwueze</t>
  </si>
  <si>
    <t>Nome nascosto: Utilizzato sia sulla fascia che nella trequarti</t>
  </si>
  <si>
    <t>Fofana Y.</t>
  </si>
  <si>
    <t>Jashari</t>
  </si>
  <si>
    <t>Ricci S.</t>
  </si>
  <si>
    <t>Penalizzato: Deve coprire molto campo nel gioco di Amorim</t>
  </si>
  <si>
    <t>Loftus-Cheek</t>
  </si>
  <si>
    <t>Musah</t>
  </si>
  <si>
    <t>Cissè A.</t>
  </si>
  <si>
    <t>Ramos G.</t>
  </si>
  <si>
    <t>Valorizzato: Fulcro del gioco di Amorim; Titolarità solida</t>
  </si>
  <si>
    <t>Leao</t>
  </si>
  <si>
    <t>55% vs Nkunku</t>
  </si>
  <si>
    <t>Nkunku</t>
  </si>
  <si>
    <t>45% vs Leao</t>
  </si>
  <si>
    <t>Camarda</t>
  </si>
  <si>
    <t>Gimenez</t>
  </si>
  <si>
    <t>Monza</t>
  </si>
  <si>
    <t>Thiam</t>
  </si>
  <si>
    <t>Nome nascosto: Buon rapporto parate-tiri</t>
  </si>
  <si>
    <t>Pizzignacco</t>
  </si>
  <si>
    <t>Strajnar</t>
  </si>
  <si>
    <t>Birindelli</t>
  </si>
  <si>
    <t>Valorizzato: Gioca su entrambe le fasce; Partecipa alla manovra offensiva</t>
  </si>
  <si>
    <t>Kouadio</t>
  </si>
  <si>
    <t>Mangas</t>
  </si>
  <si>
    <t>Carboni A.</t>
  </si>
  <si>
    <t>Delli Carri</t>
  </si>
  <si>
    <t>Bakoune</t>
  </si>
  <si>
    <t>Giovane: Ha doti per scalare le gerarchie</t>
  </si>
  <si>
    <t>Lucchesi</t>
  </si>
  <si>
    <t>Antov</t>
  </si>
  <si>
    <t>Pessina</t>
  </si>
  <si>
    <t>Ciurria</t>
  </si>
  <si>
    <t>45% vs Colpani | 45% vs Mota</t>
  </si>
  <si>
    <t>Akinsanmiro</t>
  </si>
  <si>
    <t>51% vs Colombo L.</t>
  </si>
  <si>
    <t>Colombo L.</t>
  </si>
  <si>
    <t>49% vs Akinsanmiro</t>
  </si>
  <si>
    <t>Colpani</t>
  </si>
  <si>
    <t>55% vs Ciurria</t>
  </si>
  <si>
    <t>Penalizzato: Giocatore discontinuo</t>
  </si>
  <si>
    <t>Forson O.</t>
  </si>
  <si>
    <t>Mota</t>
  </si>
  <si>
    <t>Valorizzato: Leader della squadra; Svaria su tutto il fronte d'attacco; Qualche dubbio sull'integrità fisica</t>
  </si>
  <si>
    <t>Cutrone</t>
  </si>
  <si>
    <t>55% vs Varela G.</t>
  </si>
  <si>
    <t>Petagna</t>
  </si>
  <si>
    <t>Robinson J.</t>
  </si>
  <si>
    <t>Varela G.</t>
  </si>
  <si>
    <t>45% vs Cutrone</t>
  </si>
  <si>
    <t>Napoli</t>
  </si>
  <si>
    <t>Meret</t>
  </si>
  <si>
    <t>Milinkovic-Savic V.</t>
  </si>
  <si>
    <t>Contini</t>
  </si>
  <si>
    <t>Di Lorenzo</t>
  </si>
  <si>
    <t>Rrahmani</t>
  </si>
  <si>
    <t>Marin R.</t>
  </si>
  <si>
    <t>51% vs Olivera</t>
  </si>
  <si>
    <t>Spinazzola</t>
  </si>
  <si>
    <t>Beukema</t>
  </si>
  <si>
    <t>Buongiorno</t>
  </si>
  <si>
    <t>Olivera</t>
  </si>
  <si>
    <t>49% vs Marin R.</t>
  </si>
  <si>
    <t>Nome nascosto: Jolly difensivo</t>
  </si>
  <si>
    <t>Marianucci</t>
  </si>
  <si>
    <t>Mazzocchi</t>
  </si>
  <si>
    <t>Lobotka</t>
  </si>
  <si>
    <t>Mctominay</t>
  </si>
  <si>
    <t>Valorizzato: Prolifico nei piazzati; Inserimenti in area avversaria</t>
  </si>
  <si>
    <t>De Bruyne</t>
  </si>
  <si>
    <t>Politano</t>
  </si>
  <si>
    <t>60% vs Neres</t>
  </si>
  <si>
    <t>Vergara</t>
  </si>
  <si>
    <t>Giovane: Utile nelle rotazioni</t>
  </si>
  <si>
    <t>Zambo Anguissa</t>
  </si>
  <si>
    <t>Folorunsho</t>
  </si>
  <si>
    <t>Gilmour</t>
  </si>
  <si>
    <t>Hojlund</t>
  </si>
  <si>
    <t>Santos A.</t>
  </si>
  <si>
    <t>Valorizzato: Prolifico nei contropiedi; Bravo a sfruttare gli spazi aperti dalla difesa bassa</t>
  </si>
  <si>
    <t>Lang</t>
  </si>
  <si>
    <t>Neres</t>
  </si>
  <si>
    <t>40% vs Politano</t>
  </si>
  <si>
    <t>Lucca</t>
  </si>
  <si>
    <t>Parma</t>
  </si>
  <si>
    <t>Corvi</t>
  </si>
  <si>
    <t>55% vs Daffara</t>
  </si>
  <si>
    <t>Suzuki</t>
  </si>
  <si>
    <t>Daffara</t>
  </si>
  <si>
    <t>45% vs Corvi</t>
  </si>
  <si>
    <t>Circati</t>
  </si>
  <si>
    <t>Delprato</t>
  </si>
  <si>
    <t>Nome nascosto: Coinvolto nella fase offensiva</t>
  </si>
  <si>
    <t>Valeri</t>
  </si>
  <si>
    <t>Valorizzato: Tiratore di corner.; Ottimi cross per la punta.</t>
  </si>
  <si>
    <t>Troilo</t>
  </si>
  <si>
    <t>Britschgi</t>
  </si>
  <si>
    <t>Carboni F.</t>
  </si>
  <si>
    <t>Ndiaye</t>
  </si>
  <si>
    <t>Valenti</t>
  </si>
  <si>
    <t>Bernabè</t>
  </si>
  <si>
    <t>Valorizzato: Riferimento tecnico del centrocampo; Impiegato molto in fase offensiva</t>
  </si>
  <si>
    <t>Keita M.</t>
  </si>
  <si>
    <t>Diallo O.</t>
  </si>
  <si>
    <t>45% vs Tourè E. | 49% vs Frigan</t>
  </si>
  <si>
    <t>Nicolussi Caviglia</t>
  </si>
  <si>
    <t>51% vs Sorensen O.</t>
  </si>
  <si>
    <t>Sorensen O.</t>
  </si>
  <si>
    <t>49% vs Nicolussi Caviglia</t>
  </si>
  <si>
    <t>Penalizzato: Parte indietro nelle gerarchie</t>
  </si>
  <si>
    <t>Almqvist</t>
  </si>
  <si>
    <t>Cremaschi</t>
  </si>
  <si>
    <t>Ordonez C.</t>
  </si>
  <si>
    <t>Tourè E.</t>
  </si>
  <si>
    <t>55% vs Diallo O.</t>
  </si>
  <si>
    <t>Elphege</t>
  </si>
  <si>
    <t>49% vs Romero D.</t>
  </si>
  <si>
    <t>Giovane: Apporto fisico nelle rotazioni</t>
  </si>
  <si>
    <t>Frigan</t>
  </si>
  <si>
    <t>51% vs Diallo O.</t>
  </si>
  <si>
    <t>Romero D.</t>
  </si>
  <si>
    <t>51% vs Elphege</t>
  </si>
  <si>
    <t>Lontani</t>
  </si>
  <si>
    <t>Roma</t>
  </si>
  <si>
    <t>Svilar</t>
  </si>
  <si>
    <t>De Marzi</t>
  </si>
  <si>
    <t>Gollini</t>
  </si>
  <si>
    <t>Mancini</t>
  </si>
  <si>
    <t>N'dicka</t>
  </si>
  <si>
    <t>Wesley</t>
  </si>
  <si>
    <t>Valorizzato: Partecipa attivamente alla manovra offensiva; Esterni a tutto campo valorizzati da Gasperini</t>
  </si>
  <si>
    <t>Molina N.</t>
  </si>
  <si>
    <t>Ghilardi</t>
  </si>
  <si>
    <t>Hermoso</t>
  </si>
  <si>
    <t>45% vs Koulierakis</t>
  </si>
  <si>
    <t>Koulierakis</t>
  </si>
  <si>
    <t>55% vs Hermoso</t>
  </si>
  <si>
    <t>Rensch</t>
  </si>
  <si>
    <t>Ziolkowski</t>
  </si>
  <si>
    <t>Cristante</t>
  </si>
  <si>
    <t>Nome nascosto: Punto fermo del centrocampo di Gasperini</t>
  </si>
  <si>
    <t>Konè M.</t>
  </si>
  <si>
    <t>El Aynaoui</t>
  </si>
  <si>
    <t>Pellegrini Lo.</t>
  </si>
  <si>
    <t>49% vs Soulè</t>
  </si>
  <si>
    <t>Pisilli</t>
  </si>
  <si>
    <t>Giovane: Può avere grande spazio nelle rotazioni</t>
  </si>
  <si>
    <t>Malen</t>
  </si>
  <si>
    <t>Valorizzato: Recupero palla di Gasperini lo porta ad avere molti palloni puliti; Caratteristiche adatte al gioco di Gasperini</t>
  </si>
  <si>
    <t>Soulè</t>
  </si>
  <si>
    <t>51% vs Pellegrini Lo.</t>
  </si>
  <si>
    <t>Castro S.</t>
  </si>
  <si>
    <t>45% vs Dybala</t>
  </si>
  <si>
    <t>Dybala</t>
  </si>
  <si>
    <t>55% vs Castro S.</t>
  </si>
  <si>
    <t>Vaz</t>
  </si>
  <si>
    <t>Penalizzato: Molta concorrenza per il suo ruolo; Recupero dai problemi fisici è ancora un'incognita</t>
  </si>
  <si>
    <t>Sassuolo</t>
  </si>
  <si>
    <t>Muric</t>
  </si>
  <si>
    <t>51% vs Turati</t>
  </si>
  <si>
    <t>Penalizzato: Può soffrire la costruzione dal basso</t>
  </si>
  <si>
    <t>Turati</t>
  </si>
  <si>
    <t>49% vs Muric</t>
  </si>
  <si>
    <t>Russo A.</t>
  </si>
  <si>
    <t>Satalino</t>
  </si>
  <si>
    <t>Idzes</t>
  </si>
  <si>
    <t>Walukiewicz</t>
  </si>
  <si>
    <t>51% vs Candè</t>
  </si>
  <si>
    <t>Obrador</t>
  </si>
  <si>
    <t>Candè</t>
  </si>
  <si>
    <t>49% vs Walukiewicz</t>
  </si>
  <si>
    <t>Doig</t>
  </si>
  <si>
    <t>Missori</t>
  </si>
  <si>
    <t>Pieragnolo</t>
  </si>
  <si>
    <t>Matic</t>
  </si>
  <si>
    <t>Nome nascosto: Costanza nelle rotazioni e nel rendimento</t>
  </si>
  <si>
    <t>Thorstvedt</t>
  </si>
  <si>
    <t>Adzic</t>
  </si>
  <si>
    <t>Lipani</t>
  </si>
  <si>
    <t>51% vs Konè I.</t>
  </si>
  <si>
    <t>Giovane: Utilizzato spesso nelle rotazioni</t>
  </si>
  <si>
    <t>Volpato</t>
  </si>
  <si>
    <t>Bakola</t>
  </si>
  <si>
    <t>Dominguez B.</t>
  </si>
  <si>
    <t>40% vs Laurientè</t>
  </si>
  <si>
    <t>Boloca</t>
  </si>
  <si>
    <t>Iannoni</t>
  </si>
  <si>
    <t>Konè I.</t>
  </si>
  <si>
    <t>49% vs Lipani</t>
  </si>
  <si>
    <t>Berardi</t>
  </si>
  <si>
    <t>Valorizzato: Riferimento della manovra offensiva; Prolifico in fase realizzativa</t>
  </si>
  <si>
    <t>Laurientè</t>
  </si>
  <si>
    <t>60% vs Dominguez B.</t>
  </si>
  <si>
    <t>Valorizzato: Abile in ripartenza; Buon attacco della profondità</t>
  </si>
  <si>
    <t>Bowie</t>
  </si>
  <si>
    <t>40% vs Pinamonti</t>
  </si>
  <si>
    <t>Pinamonti</t>
  </si>
  <si>
    <t>60% vs Bowie</t>
  </si>
  <si>
    <t>Moro L.</t>
  </si>
  <si>
    <t>Torino</t>
  </si>
  <si>
    <t>Paleari</t>
  </si>
  <si>
    <t>Mascardi</t>
  </si>
  <si>
    <t>Siviero</t>
  </si>
  <si>
    <t>Coco</t>
  </si>
  <si>
    <t>Comuzzo</t>
  </si>
  <si>
    <t>51% vs Comert</t>
  </si>
  <si>
    <t>Ismajli</t>
  </si>
  <si>
    <t>Pedersen</t>
  </si>
  <si>
    <t>Comert</t>
  </si>
  <si>
    <t>49% vs Comuzzo</t>
  </si>
  <si>
    <t>Biraghi</t>
  </si>
  <si>
    <t>Penalizzato: Potrebbe soffrire la difesa alta</t>
  </si>
  <si>
    <t>Vlasic</t>
  </si>
  <si>
    <t>Valorizzato: Svaria su tutto il fronte offensivo; Bravo a giocare tra le linee</t>
  </si>
  <si>
    <t>Cacciamani</t>
  </si>
  <si>
    <t>Fitz-Jim</t>
  </si>
  <si>
    <t>51% vs Gineitis</t>
  </si>
  <si>
    <t>Casadei</t>
  </si>
  <si>
    <t>Gineitis</t>
  </si>
  <si>
    <t>49% vs Fitz-Jim</t>
  </si>
  <si>
    <t>Oristanio</t>
  </si>
  <si>
    <t>51% vs Adams C.</t>
  </si>
  <si>
    <t>Nome nascosto: Adatto al sistema di Abate</t>
  </si>
  <si>
    <t>Aboukhlal</t>
  </si>
  <si>
    <t>Anjorin</t>
  </si>
  <si>
    <t>Ilkhan</t>
  </si>
  <si>
    <t>Njie</t>
  </si>
  <si>
    <t>Giovane: Buone doti aerobiche e nel dribbling</t>
  </si>
  <si>
    <t>Ilic</t>
  </si>
  <si>
    <t>Simeone</t>
  </si>
  <si>
    <t>Valorizzato: Utile nella costruzione del gioco; Utile nel gioco aereo per un modulo con gli esterni</t>
  </si>
  <si>
    <t>Adams C.</t>
  </si>
  <si>
    <t>49% vs Oristanio</t>
  </si>
  <si>
    <t>Zapata D.</t>
  </si>
  <si>
    <t>Kulenovic</t>
  </si>
  <si>
    <t>Udinese</t>
  </si>
  <si>
    <t>Okoye</t>
  </si>
  <si>
    <t>Padelli</t>
  </si>
  <si>
    <t>Piana</t>
  </si>
  <si>
    <t>Solet</t>
  </si>
  <si>
    <t>Kabasele</t>
  </si>
  <si>
    <t>Vojvoda</t>
  </si>
  <si>
    <t>Bertola</t>
  </si>
  <si>
    <t>Kamara H.</t>
  </si>
  <si>
    <t>Zanoli</t>
  </si>
  <si>
    <t>Ebosse</t>
  </si>
  <si>
    <t>Mlacic</t>
  </si>
  <si>
    <t>Palma</t>
  </si>
  <si>
    <t>Abankwah</t>
  </si>
  <si>
    <t>Arizala</t>
  </si>
  <si>
    <t>Ekkelenkamp</t>
  </si>
  <si>
    <t>Valorizzato: Riferimento tecnico del centrocampo; Partecipazione alla fase offensiva</t>
  </si>
  <si>
    <t>Karlstrom</t>
  </si>
  <si>
    <t>Zaniolo</t>
  </si>
  <si>
    <t>Piotrowski</t>
  </si>
  <si>
    <t>55% vs Unai Gomez</t>
  </si>
  <si>
    <t>Unai Gomez</t>
  </si>
  <si>
    <t>45% vs Piotrowski</t>
  </si>
  <si>
    <t>Chakvetadze</t>
  </si>
  <si>
    <t>Miller L.</t>
  </si>
  <si>
    <t>Giovane: Giocatore versatile che può agire in diversi ruoli del centrocampo</t>
  </si>
  <si>
    <t>Camara A.</t>
  </si>
  <si>
    <t>Zarraga</t>
  </si>
  <si>
    <t>Davis K.</t>
  </si>
  <si>
    <t>Valorizzato: Presenza fisica in area; Bravo nelle ripartenze</t>
  </si>
  <si>
    <t>Buksa</t>
  </si>
  <si>
    <t>Gueye</t>
  </si>
  <si>
    <t>Bayo V.</t>
  </si>
  <si>
    <t>Venezia</t>
  </si>
  <si>
    <t>Stankovic F.</t>
  </si>
  <si>
    <t>Grandi</t>
  </si>
  <si>
    <t>Pozzi</t>
  </si>
  <si>
    <t>Bella-Kotchap</t>
  </si>
  <si>
    <t>Schingtienne</t>
  </si>
  <si>
    <t>Haps</t>
  </si>
  <si>
    <t>Nome nascosto: Propensione al bonus con posizionamento avanzato</t>
  </si>
  <si>
    <t>Correia T.</t>
  </si>
  <si>
    <t>51% vs Hainaut</t>
  </si>
  <si>
    <t>Hainaut</t>
  </si>
  <si>
    <t>49% vs Correia T.</t>
  </si>
  <si>
    <t>Halhal</t>
  </si>
  <si>
    <t>49% vs Moreno M.</t>
  </si>
  <si>
    <t>Moreno M.</t>
  </si>
  <si>
    <t>51% vs Halhal</t>
  </si>
  <si>
    <t>Franjic</t>
  </si>
  <si>
    <t>Penalizzato: Utilizzato in ruoli difensivi; Tanta concorrenza</t>
  </si>
  <si>
    <t>Gomes</t>
  </si>
  <si>
    <t>Sagrado</t>
  </si>
  <si>
    <t>Sverko</t>
  </si>
  <si>
    <t>Busio</t>
  </si>
  <si>
    <t>Valorizzato: Partecipa ad entrambe le fasi; Uomo chiave nel gioco di Stroppa</t>
  </si>
  <si>
    <t>Basic</t>
  </si>
  <si>
    <t>Dagasso</t>
  </si>
  <si>
    <t>Giovane: Bravo in fase di interdizione e di inserimento</t>
  </si>
  <si>
    <t>Perez K.</t>
  </si>
  <si>
    <t>Sohm</t>
  </si>
  <si>
    <t>Helgason</t>
  </si>
  <si>
    <t>Duncan</t>
  </si>
  <si>
    <t>Adams A.</t>
  </si>
  <si>
    <t>55% vs Rrahmani Al.</t>
  </si>
  <si>
    <t>Yeboah J.</t>
  </si>
  <si>
    <t>Valorizzato: Buon attacco della profondità; Bravo nel dribbling</t>
  </si>
  <si>
    <t>Rrahmani Al.</t>
  </si>
  <si>
    <t>45% vs Adams A.</t>
  </si>
  <si>
    <t>Adorante</t>
  </si>
  <si>
    <t>Lauberbach</t>
  </si>
  <si>
    <t>Lisman</t>
  </si>
  <si>
    <t>Guida all'Asta — Panoramica squadre (Classic)</t>
  </si>
  <si>
    <t>Modulo</t>
  </si>
  <si>
    <t>Allenatore</t>
  </si>
  <si>
    <t>Attacco (0-5)</t>
  </si>
  <si>
    <t>Difesa (0-5)</t>
  </si>
  <si>
    <t>N. giocatori</t>
  </si>
  <si>
    <t>Titolari 95%</t>
  </si>
  <si>
    <t>XI titolare</t>
  </si>
  <si>
    <t>Punti chiave</t>
  </si>
  <si>
    <t>Ruoli chiave (schema)</t>
  </si>
  <si>
    <t>4-3-3</t>
  </si>
  <si>
    <t>M. Sarri</t>
  </si>
  <si>
    <t>Scamacca - Raspadori - De Ketelaere - Ederson D.S. - Gaetano - Samardzic - Bernasconi - Kristensen T. - Scalvini - Zappacosta - Carnesecchi</t>
  </si>
  <si>
    <t>Valorizzazione esterni d'attacco • Solidità difensiva • Scarso impiego del turnover • Scarsa libertà ai terzini</t>
  </si>
  <si>
    <t>W Pc W C M C Ds Dc Dc Dd Por</t>
  </si>
  <si>
    <t>D. Tedesco</t>
  </si>
  <si>
    <t>Dovbyk - Rowe - Orsolini - Ferguson - Pobega - Bernardeschi - Miranda J. - Heggem - Vitik - Zortea - Skorupski</t>
  </si>
  <si>
    <t>Valorizzazione esterni d'attacco • Adattamento Serie A • Sistema di gioco molto elaborato</t>
  </si>
  <si>
    <t>F. Pisacane</t>
  </si>
  <si>
    <t>Kevin Carlos - Fazzini - Maldini - Romano - Winks - Adopo - Obert - Rodriguez Ju. - Mina - Zè Pedro - Caprile</t>
  </si>
  <si>
    <t>Valorizzazione giovani • Solidità difensiva • Attacco poco prolifico</t>
  </si>
  <si>
    <t>4-2-3-1</t>
  </si>
  <si>
    <t>C. Fabregas</t>
  </si>
  <si>
    <t>Douvikas - Baturina - Paz N. - Diao - Da Cunha - Perrone - Valle - Chalobah T. - Ramon - Couto - Butez</t>
  </si>
  <si>
    <t>Valorizzazione giovani • Solidità difensiva • Manovra fluida in fase offensiva</t>
  </si>
  <si>
    <t>Pc W T W M M Ds Dc Dc Dd Por</t>
  </si>
  <si>
    <t>4-3-2-1</t>
  </si>
  <si>
    <t>F. Grosso</t>
  </si>
  <si>
    <t>Kean - Mastantuono - Atta - Ndour - Fagioli - Oulai - Valdepenas - Viery - Dragusin - Jimenez A. - De Gea</t>
  </si>
  <si>
    <t>Valorizzazione esterni d'attacco • Importanza mezzali • Difesa poco solida • Fatica contro squadre chiuse</t>
  </si>
  <si>
    <t>Pc T T C M C Ds Dc Dc Dd Por</t>
  </si>
  <si>
    <t>M. Alvini</t>
  </si>
  <si>
    <t>Raimondo - Kvernadze - Ghedjemis - Masini - Grillitsch - Schmid - Terzic - Monterisi - Akpoguma - Oyono A. - Palmisani</t>
  </si>
  <si>
    <t>Importanza esterni d'attacco • Difensori potrebbero soffrire l'adattamento in serie A • Sfrutta bene i calci piazzati</t>
  </si>
  <si>
    <t>3-4-2-1</t>
  </si>
  <si>
    <t>D. De Rossi</t>
  </si>
  <si>
    <t>Colombo - Vitinha O. - Baldanzi - Frendrup - Sow - Mitaj - Norton-Cuffy - Vasquez - Ostigard - Marcandalli - Bijlow</t>
  </si>
  <si>
    <t>Compattezza difensiva • Valorizzazione esterni bassi • Difficoltà dal punto di vista realizzativo</t>
  </si>
  <si>
    <t>Pc T T E C C E B Dc Dc Por</t>
  </si>
  <si>
    <t>3-5-2</t>
  </si>
  <si>
    <t>C. Chivu</t>
  </si>
  <si>
    <t>Thuram - Martinez L. - Zielinski - Calhanoglu - Barella - Dimarco - Spence - Bastoni - Stones - Akanji - Martinez Jo.</t>
  </si>
  <si>
    <t>Valorizzazione esterni • Transizione offensiva veloce e coordinata • Fase difensiva ordinata e organizzata</t>
  </si>
  <si>
    <t>Pc Pc E C M C E B Dc Dc Por</t>
  </si>
  <si>
    <t>L. Spalletti</t>
  </si>
  <si>
    <t>Kolo Muani - Yildiz - McKennie - Alajbegovic - Locatelli - Thuram K. - Cambiaso - Lucumì - Bremer - Kalulu - Di Gregorio</t>
  </si>
  <si>
    <t>Valorizzazione esterni offesivi • Solidità difensiva • Interpreti inadatti ad un giro palla veloce</t>
  </si>
  <si>
    <t>G. Gattuso</t>
  </si>
  <si>
    <t>Noslin - Zaccagni - Isaksen - Frattesi - Rovella - Taylor K. - Pedraza - Romagnoli - Doekhi - Marusic - Mandas</t>
  </si>
  <si>
    <t>Punta centrale riferimento principale • Gioco aggressivo, cartellini e falli elevati • Esterni di difesa propositivi</t>
  </si>
  <si>
    <t>E. Di Francesco</t>
  </si>
  <si>
    <t>Geubbels - N'Dri - Pierotti - Gandelman - Ngom - Coulibaly L. - Gallo - Gaspar K. - Tiago Gabriel - Veiga D. - Falcone</t>
  </si>
  <si>
    <t>Valorizzazione esterni d'attacco • Squadra poco prolifica per i bonus • Difesa aggressiva e propensa ai cartellini</t>
  </si>
  <si>
    <t>R. Amorim</t>
  </si>
  <si>
    <t>Ramos G. - Leao - Pulisic - Modric - Rabiot - Bartesaghi - Saelemaekers - Pavlovic - Gabbia - Gila - Maignan</t>
  </si>
  <si>
    <t>Trequartisti ed esterni mobili in fase offensiva • Rigidità del sistema di gioco • Dipendenza da un attaccante fisico</t>
  </si>
  <si>
    <t>I. Jurić</t>
  </si>
  <si>
    <t>Cutrone - Mota - Colpani - Pessina - Akinsanmiro - Mangas - Birindelli - Carboni A. - Delli Carri - Kouadio - Thiam</t>
  </si>
  <si>
    <t>Importanza esterni • Marcatura a tutto campo • Gioco molto aggressivo</t>
  </si>
  <si>
    <t>M. Allegri</t>
  </si>
  <si>
    <t>Hojlund - Santos A. - Politano - McTominay - Lobotka - De Bruyne - Spinazzola - Marin R. - Rrahmani - Di Lorenzo - Meret</t>
  </si>
  <si>
    <t>Solidità difensiva • Palle inattive decisive • Baricentro squadra basso</t>
  </si>
  <si>
    <t>C. Cuesta</t>
  </si>
  <si>
    <t>Romero D. - Tourè E. - Frigan - Nicolussi Caviglia - Keita M. - Bernabè - Valeri - Circati - Troilo - Delprato - Corvi</t>
  </si>
  <si>
    <t>Solidità difensiva • Molti cross verso la punta centrale • Poca efficacia offensiva</t>
  </si>
  <si>
    <t>G. Piero Gasperini</t>
  </si>
  <si>
    <t>Malen - Dybala - Soulè - Konè M. - Cristante - Wesley - Molina N. - Koulierakis - N'Dicka - Mancini - Svilar</t>
  </si>
  <si>
    <t>Esterni molto offensivi • Attacco molto prolifico • Marcatura a uomo aggressiva</t>
  </si>
  <si>
    <t>A. Aquilani</t>
  </si>
  <si>
    <t>Pinamonti - Laurientè - Thorstvedt - Berardi - Lipani - Matic - Obrador - Idzes - Walukiewicz - Missori - Muric</t>
  </si>
  <si>
    <t>Costruzione dal basso • Fluidità Tattica tra i moduli • Buona organizzazione del fraseggio in mezzo al campo</t>
  </si>
  <si>
    <t>I. Abate</t>
  </si>
  <si>
    <t>Simeone - Vlasic - Oristanio - Fitz-Jim - Casadei - Cacciamani - Pedersen - Comuzzo - Coco - Ismajli - Paleari</t>
  </si>
  <si>
    <t>Trequartisti mobili • Pressing a tutto campo • Costruzione dal basso e palleggio</t>
  </si>
  <si>
    <t>K. Runjaic</t>
  </si>
  <si>
    <t>Davis K. - Ekkelenkamp - Zaniolo - Karlstrom - Piotrowski - Kamara H. - Vojvoda - Solet - Bertola - Kabasele - Okoye</t>
  </si>
  <si>
    <t>Contropiedi efficaci • Propensione al fallo tattico • Efficacia del gioco dipendente dall'atletismo dei giocatori</t>
  </si>
  <si>
    <t>G. Stroppa</t>
  </si>
  <si>
    <t>Yeboah J. - Adams A. - Sohm - Busio - Basic - Haps - Correia T. - Moreno M. - Bella-Kotchap - Schingtienne - Stankovic F.</t>
  </si>
  <si>
    <t>Gioco costante sugli esterni • Costruzione dal basso ossessiva • Interpreti del suo gioco potrebbero faticare in serie A</t>
  </si>
  <si>
    <t>Ruoli</t>
  </si>
  <si>
    <t>Giocatore 1</t>
  </si>
  <si>
    <t>% 1</t>
  </si>
  <si>
    <t>Giocatore 2</t>
  </si>
  <si>
    <t>Giocatore 3</t>
  </si>
  <si>
    <t>% ultimo</t>
  </si>
  <si>
    <t>A/A</t>
  </si>
  <si>
    <t>C/C</t>
  </si>
  <si>
    <t>D/D</t>
  </si>
  <si>
    <t>D/C</t>
  </si>
  <si>
    <t>A/A/A</t>
  </si>
  <si>
    <t>A/C</t>
  </si>
  <si>
    <t>P/P</t>
  </si>
  <si>
    <t>C/A</t>
  </si>
  <si>
    <t>Tipo</t>
  </si>
  <si>
    <t>Ordine</t>
  </si>
  <si>
    <t>Rigori</t>
  </si>
  <si>
    <t>Ederson D.S.</t>
  </si>
  <si>
    <t>Calci d'angolo</t>
  </si>
  <si>
    <t>Categoria</t>
  </si>
  <si>
    <t>Nota</t>
  </si>
  <si>
    <t>Difesa di Sarri solida</t>
  </si>
  <si>
    <t>Adattabile anche al centro</t>
  </si>
  <si>
    <t>Esterni di Sarri prolifici</t>
  </si>
  <si>
    <t>Rotazioni elevate nel suo ruolo</t>
  </si>
  <si>
    <t>Con Sarri posizionamento più arretrato</t>
  </si>
  <si>
    <t>Parte indietro nelle gerarchie del mister</t>
  </si>
  <si>
    <t>Sarri può rigenerarlo</t>
  </si>
  <si>
    <t>Esterno equilibrato in entrambe le fasi</t>
  </si>
  <si>
    <t>Caratteristiche in linea con gli esterni del mister</t>
  </si>
  <si>
    <t>Poca concorrenza</t>
  </si>
  <si>
    <t>Perno offensivo del gioco del mister</t>
  </si>
  <si>
    <t>Maggiore minutaggio rispetto all'anno scorso</t>
  </si>
  <si>
    <t>Parte indietro nelle gerarchie</t>
  </si>
  <si>
    <t>Potrebbe soffrire un sistema di gioco elaborato</t>
  </si>
  <si>
    <t>Duttile tatticamente. Usato in più ruoli.</t>
  </si>
  <si>
    <t>Tanta concorrenza sugli esterni</t>
  </si>
  <si>
    <t>Buoni cross anche dai piazzati</t>
  </si>
  <si>
    <t>Utilizzato in più posizioni nella fase difensiva</t>
  </si>
  <si>
    <t>Voluto fortemente da Pisacane</t>
  </si>
  <si>
    <t>Propensione al bonus</t>
  </si>
  <si>
    <t>Dubbio su integrità fisica</t>
  </si>
  <si>
    <t>Sistema molto difensivo potrebbe penalizzarlo</t>
  </si>
  <si>
    <t>Forte nelle transizioni offensive</t>
  </si>
  <si>
    <t>Può facilmente ritagliarsi spazio</t>
  </si>
  <si>
    <t>Duttile Tatticamente</t>
  </si>
  <si>
    <t>Gioco della squadra molto offensivo</t>
  </si>
  <si>
    <t>Fluidità della manovra crea spazi per la punta</t>
  </si>
  <si>
    <t>Non ancora integrato al meglio nel sistema di gioco</t>
  </si>
  <si>
    <t>Ruolo in cui Fabregas fa molto turnover</t>
  </si>
  <si>
    <t>Abile in fase di finalizzazione</t>
  </si>
  <si>
    <t>Doti tecniche perfette per il gioco di Fabregas</t>
  </si>
  <si>
    <t>Duttile tatticamente</t>
  </si>
  <si>
    <t>Usato sia come terzino che ala offensiva</t>
  </si>
  <si>
    <t>Mezz'ali di grosso prolifiche</t>
  </si>
  <si>
    <t>Caratteristiche compatibili con il gioco di Grosso</t>
  </si>
  <si>
    <t>Parte dietro nelle gerarchie</t>
  </si>
  <si>
    <t>Può soffrire il sistema offensivo del mister</t>
  </si>
  <si>
    <t>Titolarità non garantita</t>
  </si>
  <si>
    <t>Giocatore fisico che può entrare facilmente nelle rotazioni</t>
  </si>
  <si>
    <t>Giocatore di gamba che proverà a ritagliarsi un ruolo importante</t>
  </si>
  <si>
    <t>Uomo chiave nel gioco del mister</t>
  </si>
  <si>
    <t>Buone doti di finalizzazione</t>
  </si>
  <si>
    <t>Leader della squadra</t>
  </si>
  <si>
    <t>Fulcro del gioco</t>
  </si>
  <si>
    <t>Calcia tutti i piazzati</t>
  </si>
  <si>
    <t>Porpensione al malus</t>
  </si>
  <si>
    <t>Adattamento in Serie A</t>
  </si>
  <si>
    <t>Duttilità tattica, fisico ma anche molto dinamico</t>
  </si>
  <si>
    <t>Ottime doti atletiche e nell'1vs1 lo rendono il cambio ideale a partita in corso</t>
  </si>
  <si>
    <t>Sistema difensivo esalta le sue caratteristiche</t>
  </si>
  <si>
    <t>Prolifico nei calci piazzati</t>
  </si>
  <si>
    <t>Fantasista della squadra</t>
  </si>
  <si>
    <t>Svaria su tutto il fronte offensivo</t>
  </si>
  <si>
    <t>Caratteristiche compatibili con il sistema difensivo</t>
  </si>
  <si>
    <t>Può giocare in tutti i ruoli della fascia</t>
  </si>
  <si>
    <t>Bravo a giocare con tutti gli attaccanti delle rotazioni</t>
  </si>
  <si>
    <t>Minutaggio elevati e costante</t>
  </si>
  <si>
    <t>Ruolo offensivo nel gioco di Chivu</t>
  </si>
  <si>
    <t>Non integrato al meglio nel gioco di Chivu</t>
  </si>
  <si>
    <t>Indietro nelle gerarchie</t>
  </si>
  <si>
    <t>Esterno offensivo da bonus</t>
  </si>
  <si>
    <t>Indisciplinato nella fase difensiva</t>
  </si>
  <si>
    <t>Esposito F.P.</t>
  </si>
  <si>
    <t>Gioca bene con entrambi gli attaccanti titolari</t>
  </si>
  <si>
    <t>Riferimento del gioco offensivo</t>
  </si>
  <si>
    <t>Svaria su tutto il fronte</t>
  </si>
  <si>
    <t>McKennie</t>
  </si>
  <si>
    <t>Prolifico negli inserimenti</t>
  </si>
  <si>
    <t>Posizionamento molto arretrato</t>
  </si>
  <si>
    <t>Minutaggio molto ridotto</t>
  </si>
  <si>
    <t>Rendimento buono e continuo in termini di voti</t>
  </si>
  <si>
    <t>Buon potenziale ma tanta concorrenza</t>
  </si>
  <si>
    <t>Utile negli inserimenti richiesti dal mister</t>
  </si>
  <si>
    <t>Propensione alla fase offensiva</t>
  </si>
  <si>
    <t>Fulcro del gioco offensivo</t>
  </si>
  <si>
    <t>Propensione a cartellini nel gioco di Gattuso</t>
  </si>
  <si>
    <t>Gattuso richiede molta spinta dai terzini</t>
  </si>
  <si>
    <t>Può ricavarsi molto spazio nelle gerarchie</t>
  </si>
  <si>
    <t>N'Dri</t>
  </si>
  <si>
    <t>Ali fondamentali nel gioco di Di Franscesco</t>
  </si>
  <si>
    <t>Utile nelle ripartenze</t>
  </si>
  <si>
    <t>Duttilità tattica</t>
  </si>
  <si>
    <t>Fulcro del centrocampo</t>
  </si>
  <si>
    <t>Può giocare in diverse posizioni del fronte offensivo</t>
  </si>
  <si>
    <t>Riferimento difensivo della squadra</t>
  </si>
  <si>
    <t>Adattabile su tutto il fronte offensivo</t>
  </si>
  <si>
    <t>Fulcro del gioco di Amorim</t>
  </si>
  <si>
    <t>Titolarità solida</t>
  </si>
  <si>
    <t>Non adatto ai ruoli di impostazione richiesti dal mister</t>
  </si>
  <si>
    <t>Deve coprire molto campo nel gioco di Amorim</t>
  </si>
  <si>
    <t>Utilizzato sia sulla fascia che nella trequarti</t>
  </si>
  <si>
    <t>Rendimento solido e costante</t>
  </si>
  <si>
    <t>Svaria su tutto il fronte d'attacco</t>
  </si>
  <si>
    <t>Qualche dubbio sull'integrità fisica</t>
  </si>
  <si>
    <t>Gioca su entrambe le fasce</t>
  </si>
  <si>
    <t>Partecipa alla manovra offensiva</t>
  </si>
  <si>
    <t>Giocatore discontinuo</t>
  </si>
  <si>
    <t>Buon rapporto parate-tiri</t>
  </si>
  <si>
    <t>Ha doti per scalare le gerarchie</t>
  </si>
  <si>
    <t>Prolifico nei contropiedi</t>
  </si>
  <si>
    <t>Bravo a sfruttare gli spazi aperti dalla difesa bassa</t>
  </si>
  <si>
    <t>McTominay</t>
  </si>
  <si>
    <t>Prolifico nei piazzati</t>
  </si>
  <si>
    <t>Inserimenti in area avversaria</t>
  </si>
  <si>
    <t>Jolly difensivo</t>
  </si>
  <si>
    <t>Utile nelle rotazioni</t>
  </si>
  <si>
    <t>Riferimento tecnico del centrocampo</t>
  </si>
  <si>
    <t>Impiegato molto in fase offensiva</t>
  </si>
  <si>
    <t>Tiratore di corner.</t>
  </si>
  <si>
    <t>Ottimi cross per la punta.</t>
  </si>
  <si>
    <t>Coinvolto nella fase offensiva</t>
  </si>
  <si>
    <t>Apporto fisico nelle rotazioni</t>
  </si>
  <si>
    <t>Recupero palla di Gasperini lo porta ad avere molti palloni puliti</t>
  </si>
  <si>
    <t>Caratteristiche adatte al gioco di Gasperini</t>
  </si>
  <si>
    <t>Partecipa attivamente alla manovra offensiva</t>
  </si>
  <si>
    <t>Esterni a tutto campo valorizzati da Gasperini</t>
  </si>
  <si>
    <t>Molta concorrenza per il suo ruolo</t>
  </si>
  <si>
    <t>Recupero dai problemi fisici è ancora un'incognita</t>
  </si>
  <si>
    <t>Punto fermo del centrocampo di Gasperini</t>
  </si>
  <si>
    <t>Può avere grande spazio nelle rotazioni</t>
  </si>
  <si>
    <t>Abile in ripartenza</t>
  </si>
  <si>
    <t>Buon attacco della profondità</t>
  </si>
  <si>
    <t>Riferimento della manovra offensiva</t>
  </si>
  <si>
    <t>Prolifico in fase realizzativa</t>
  </si>
  <si>
    <t>Può soffrire la costruzione dal basso</t>
  </si>
  <si>
    <t>Costanza nelle rotazioni e nel rendimento</t>
  </si>
  <si>
    <t>Utilizzato spesso nelle rotazioni</t>
  </si>
  <si>
    <t>Utile nella costruzione del gioco</t>
  </si>
  <si>
    <t>Utile nel gioco aereo per un modulo con gli esterni</t>
  </si>
  <si>
    <t>Bravo a giocare tra le linee</t>
  </si>
  <si>
    <t>Potrebbe soffrire la difesa alta</t>
  </si>
  <si>
    <t>Adatto al sistema di Abate</t>
  </si>
  <si>
    <t>Buone doti aerobiche e nel dribbling</t>
  </si>
  <si>
    <t>Presenza fisica in area</t>
  </si>
  <si>
    <t>Bravo nelle ripartenze</t>
  </si>
  <si>
    <t>Partecipazione alla fase offensiva</t>
  </si>
  <si>
    <t>Caratteristiche adatte alla difesa bassa</t>
  </si>
  <si>
    <t>Giocatore versatile che può agire in diversi ruoli del centrocampo</t>
  </si>
  <si>
    <t>Bravo nel dribbling</t>
  </si>
  <si>
    <t>Partecipa ad entrambe le fasi</t>
  </si>
  <si>
    <t>Uomo chiave nel gioco di Stroppa</t>
  </si>
  <si>
    <t>Utilizzato in ruoli difensivi</t>
  </si>
  <si>
    <t>Tanta concorrenza</t>
  </si>
  <si>
    <t>Propensione al bonus con posizionamento avanzato</t>
  </si>
  <si>
    <t>Bravo in fase di interdizione e di inserimento</t>
  </si>
  <si>
    <t>#</t>
  </si>
  <si>
    <t>Punto chiave</t>
  </si>
  <si>
    <t>Valorizzazione esterni d'attacco</t>
  </si>
  <si>
    <t>Solidità difensiva</t>
  </si>
  <si>
    <t>Scarso impiego del turnover</t>
  </si>
  <si>
    <t>Scarsa libertà ai terzini</t>
  </si>
  <si>
    <t>Adattamento Serie A</t>
  </si>
  <si>
    <t>Sistema di gioco molto elaborato</t>
  </si>
  <si>
    <t>Valorizzazione giovani</t>
  </si>
  <si>
    <t>Attacco poco prolifico</t>
  </si>
  <si>
    <t>Manovra fluida in fase offensiva</t>
  </si>
  <si>
    <t>Importanza mezzali</t>
  </si>
  <si>
    <t>Difesa poco solida</t>
  </si>
  <si>
    <t>Fatica contro squadre chiuse</t>
  </si>
  <si>
    <t>Importanza esterni d'attacco</t>
  </si>
  <si>
    <t>Difensori potrebbero soffrire l'adattamento in serie A</t>
  </si>
  <si>
    <t>Sfrutta bene i calci piazzati</t>
  </si>
  <si>
    <t>Compattezza difensiva</t>
  </si>
  <si>
    <t>Valorizzazione esterni bassi</t>
  </si>
  <si>
    <t>Difficoltà dal punto di vista realizzativo</t>
  </si>
  <si>
    <t>Valorizzazione esterni</t>
  </si>
  <si>
    <t>Transizione offensiva veloce e coordinata</t>
  </si>
  <si>
    <t>Fase difensiva ordinata e organizzata</t>
  </si>
  <si>
    <t>Valorizzazione esterni offesivi</t>
  </si>
  <si>
    <t>Interpreti inadatti ad un giro palla veloce</t>
  </si>
  <si>
    <t>Punta centrale riferimento principale</t>
  </si>
  <si>
    <t>Gioco aggressivo, cartellini e falli elevati</t>
  </si>
  <si>
    <t>Esterni di difesa propositivi</t>
  </si>
  <si>
    <t>Squadra poco prolifica per i bonus</t>
  </si>
  <si>
    <t>Difesa aggressiva e propensa ai cartellini</t>
  </si>
  <si>
    <t>Trequartisti ed esterni mobili in fase offensiva</t>
  </si>
  <si>
    <t>Rigidità del sistema di gioco</t>
  </si>
  <si>
    <t>Dipendenza da un attaccante fisico</t>
  </si>
  <si>
    <t>Importanza esterni</t>
  </si>
  <si>
    <t>Marcatura a tutto campo</t>
  </si>
  <si>
    <t>Gioco molto aggressivo</t>
  </si>
  <si>
    <t>Palle inattive decisive</t>
  </si>
  <si>
    <t>Baricentro squadra basso</t>
  </si>
  <si>
    <t>Molti cross verso la punta centrale</t>
  </si>
  <si>
    <t>Poca efficacia offensiva</t>
  </si>
  <si>
    <t>Esterni molto offensivi</t>
  </si>
  <si>
    <t>Attacco molto prolifico</t>
  </si>
  <si>
    <t>Marcatura a uomo aggressiva</t>
  </si>
  <si>
    <t>Costruzione dal basso</t>
  </si>
  <si>
    <t>Fluidità Tattica tra i moduli</t>
  </si>
  <si>
    <t>Buona organizzazione del fraseggio in mezzo al campo</t>
  </si>
  <si>
    <t>Trequartisti mobili</t>
  </si>
  <si>
    <t>Pressing a tutto campo</t>
  </si>
  <si>
    <t>Costruzione dal basso e palleggio</t>
  </si>
  <si>
    <t>Contropiedi efficaci</t>
  </si>
  <si>
    <t>Propensione al fallo tattico</t>
  </si>
  <si>
    <t>Efficacia del gioco dipendente dall'atletismo dei giocatori</t>
  </si>
  <si>
    <t>Gioco costante sugli esterni</t>
  </si>
  <si>
    <t>Costruzione dal basso ossessiva</t>
  </si>
  <si>
    <t>Interpreti del suo gioco potrebbero faticare in serie A</t>
  </si>
</sst>
</file>

<file path=xl/styles.xml><?xml version="1.0" encoding="utf-8"?>
<styleSheet xmlns="http://schemas.openxmlformats.org/spreadsheetml/2006/main">
  <numFmts count="3">
    <numFmt numFmtId="0" formatCode="General"/>
    <numFmt numFmtId="59" formatCode="0.0%"/>
    <numFmt numFmtId="60" formatCode="0.0"/>
  </numFmts>
  <fonts count="12">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12"/>
      <name val="Arial"/>
    </font>
    <font>
      <b val="1"/>
      <sz val="10"/>
      <color indexed="8"/>
      <name val="Arial"/>
    </font>
    <font>
      <sz val="10"/>
      <color indexed="8"/>
      <name val="Arial"/>
    </font>
    <font>
      <b val="1"/>
      <sz val="11"/>
      <color indexed="14"/>
      <name val="Arial"/>
    </font>
    <font>
      <b val="1"/>
      <sz val="10"/>
      <color indexed="14"/>
      <name val="Arial"/>
    </font>
    <font>
      <b val="1"/>
      <sz val="13"/>
      <color indexed="12"/>
      <name val="Arial"/>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2"/>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s>
  <borders count="15">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5"/>
      </left>
      <right style="thin">
        <color indexed="15"/>
      </right>
      <top style="thin">
        <color indexed="15"/>
      </top>
      <bottom style="thin">
        <color indexed="15"/>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style="thin">
        <color indexed="13"/>
      </right>
      <top style="thin">
        <color indexed="15"/>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5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7" borderId="4" applyNumberFormat="0" applyFont="1" applyFill="0" applyBorder="1" applyAlignment="1" applyProtection="0">
      <alignment vertical="bottom"/>
    </xf>
    <xf numFmtId="0" fontId="8" fillId="4" borderId="5" applyNumberFormat="0" applyFont="1" applyFill="1" applyBorder="1" applyAlignment="1" applyProtection="0">
      <alignment vertical="top" wrapText="1"/>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borderId="4" applyNumberFormat="1" applyFont="1" applyFill="0" applyBorder="1" applyAlignment="1" applyProtection="0">
      <alignment vertical="bottom"/>
    </xf>
    <xf numFmtId="49" fontId="8" fillId="4" borderId="5" applyNumberFormat="1" applyFont="1" applyFill="1" applyBorder="1" applyAlignment="1" applyProtection="0">
      <alignment vertical="top" wrapText="1"/>
    </xf>
    <xf numFmtId="0" fontId="8" borderId="5" applyNumberFormat="1" applyFont="1" applyFill="0" applyBorder="1" applyAlignment="1" applyProtection="0">
      <alignment horizontal="left" vertical="bottom"/>
    </xf>
    <xf numFmtId="49" fontId="9" fillId="5" borderId="4" applyNumberFormat="1" applyFont="1" applyFill="1" applyBorder="1" applyAlignment="1" applyProtection="0">
      <alignment vertical="bottom"/>
    </xf>
    <xf numFmtId="0" fontId="0" fillId="5" borderId="5" applyNumberFormat="0" applyFont="1" applyFill="1" applyBorder="1" applyAlignment="1" applyProtection="0">
      <alignment vertical="bottom"/>
    </xf>
    <xf numFmtId="49" fontId="7" borderId="7" applyNumberFormat="1" applyFont="1" applyFill="0" applyBorder="1" applyAlignment="1" applyProtection="0">
      <alignment vertical="bottom"/>
    </xf>
    <xf numFmtId="49" fontId="8" fillId="4" borderId="8" applyNumberFormat="1" applyFont="1" applyFill="1" applyBorder="1" applyAlignment="1" applyProtection="0">
      <alignment vertical="top" wrapText="1"/>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10" fillId="5" borderId="10" applyNumberFormat="1" applyFont="1" applyFill="1" applyBorder="1" applyAlignment="1" applyProtection="0">
      <alignment horizontal="center" vertical="center" wrapText="1"/>
    </xf>
    <xf numFmtId="49" fontId="8" fillId="4" borderId="10" applyNumberFormat="1" applyFont="1" applyFill="1" applyBorder="1" applyAlignment="1" applyProtection="0">
      <alignment vertical="center"/>
    </xf>
    <xf numFmtId="49" fontId="8" fillId="6" borderId="10" applyNumberFormat="1" applyFont="1" applyFill="1" applyBorder="1" applyAlignment="1" applyProtection="0">
      <alignment horizontal="center" vertical="bottom"/>
    </xf>
    <xf numFmtId="59" fontId="8" fillId="4" borderId="10" applyNumberFormat="1" applyFont="1" applyFill="1" applyBorder="1" applyAlignment="1" applyProtection="0">
      <alignment vertical="center"/>
    </xf>
    <xf numFmtId="2" fontId="8" fillId="4" borderId="10" applyNumberFormat="1" applyFont="1" applyFill="1" applyBorder="1" applyAlignment="1" applyProtection="0">
      <alignment vertical="center"/>
    </xf>
    <xf numFmtId="49" fontId="8" borderId="10" applyNumberFormat="1" applyFont="1" applyFill="0" applyBorder="1" applyAlignment="1" applyProtection="0">
      <alignment horizontal="center" vertical="bottom"/>
    </xf>
    <xf numFmtId="0" fontId="8" borderId="10" applyNumberFormat="0" applyFont="1" applyFill="0" applyBorder="1" applyAlignment="1" applyProtection="0">
      <alignment horizontal="center" vertical="bottom"/>
    </xf>
    <xf numFmtId="0" fontId="8" fillId="4" borderId="10" applyNumberFormat="0" applyFont="1" applyFill="1" applyBorder="1" applyAlignment="1" applyProtection="0">
      <alignment vertical="center" wrapText="1"/>
    </xf>
    <xf numFmtId="49" fontId="8" fillId="7" borderId="10" applyNumberFormat="1" applyFont="1" applyFill="1" applyBorder="1" applyAlignment="1" applyProtection="0">
      <alignment horizontal="center" vertical="bottom"/>
    </xf>
    <xf numFmtId="0" fontId="8" borderId="10" applyNumberFormat="1" applyFont="1" applyFill="0" applyBorder="1" applyAlignment="1" applyProtection="0">
      <alignment horizontal="center" vertical="bottom"/>
    </xf>
    <xf numFmtId="49" fontId="8" fillId="4" borderId="10" applyNumberFormat="1" applyFont="1" applyFill="1" applyBorder="1" applyAlignment="1" applyProtection="0">
      <alignment vertical="center" wrapText="1"/>
    </xf>
    <xf numFmtId="49" fontId="8" fillId="8" borderId="10" applyNumberFormat="1" applyFont="1" applyFill="1" applyBorder="1" applyAlignment="1" applyProtection="0">
      <alignment horizontal="center" vertical="bottom"/>
    </xf>
    <xf numFmtId="49" fontId="8" fillId="9" borderId="10"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49" fontId="11" borderId="11" applyNumberFormat="1" applyFont="1" applyFill="0" applyBorder="1" applyAlignment="1" applyProtection="0">
      <alignment vertical="bottom"/>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49" fontId="7" fillId="4" borderId="10" applyNumberFormat="1" applyFont="1" applyFill="1" applyBorder="1" applyAlignment="1" applyProtection="0">
      <alignment vertical="top"/>
    </xf>
    <xf numFmtId="49" fontId="8" fillId="4" borderId="10" applyNumberFormat="1" applyFont="1" applyFill="1" applyBorder="1" applyAlignment="1" applyProtection="0">
      <alignment vertical="top"/>
    </xf>
    <xf numFmtId="60" fontId="8" borderId="10" applyNumberFormat="1" applyFont="1" applyFill="0" applyBorder="1" applyAlignment="1" applyProtection="0">
      <alignment horizontal="center" vertical="bottom"/>
    </xf>
    <xf numFmtId="49" fontId="8" fillId="4" borderId="10" applyNumberFormat="1" applyFont="1" applyFill="1" applyBorder="1" applyAlignment="1" applyProtection="0">
      <alignment vertical="top" wrapText="1"/>
    </xf>
    <xf numFmtId="0" fontId="0" borderId="13" applyNumberFormat="0" applyFont="1" applyFill="0" applyBorder="1" applyAlignment="1" applyProtection="0">
      <alignment vertical="bottom"/>
    </xf>
    <xf numFmtId="0" fontId="0" applyNumberFormat="1" applyFont="1" applyFill="0" applyBorder="0" applyAlignment="1" applyProtection="0">
      <alignment vertical="bottom"/>
    </xf>
    <xf numFmtId="49" fontId="8" borderId="10" applyNumberFormat="1" applyFont="1" applyFill="0" applyBorder="1" applyAlignment="1" applyProtection="0">
      <alignment vertical="bottom"/>
    </xf>
    <xf numFmtId="9" fontId="8" borderId="10" applyNumberFormat="1" applyFont="1" applyFill="0" applyBorder="1" applyAlignment="1" applyProtection="0">
      <alignment horizontal="center" vertical="bottom"/>
    </xf>
    <xf numFmtId="0" fontId="8" borderId="10"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8" fillId="8" borderId="10" applyNumberFormat="1" applyFont="1" applyFill="1" applyBorder="1" applyAlignment="1" applyProtection="0">
      <alignment vertical="center"/>
    </xf>
    <xf numFmtId="49" fontId="8" fillId="9" borderId="10" applyNumberFormat="1" applyFont="1" applyFill="1" applyBorder="1" applyAlignment="1" applyProtection="0">
      <alignment vertical="center"/>
    </xf>
    <xf numFmtId="49" fontId="8" fillId="10" borderId="10" applyNumberFormat="1" applyFont="1" applyFill="1" applyBorder="1" applyAlignment="1" applyProtection="0">
      <alignment vertical="center"/>
    </xf>
    <xf numFmtId="49" fontId="8" fillId="6" borderId="10" applyNumberFormat="1" applyFont="1" applyFill="1" applyBorder="1" applyAlignment="1" applyProtection="0">
      <alignment vertical="center"/>
    </xf>
    <xf numFmtId="0" fontId="8" fillId="4" borderId="10" applyNumberFormat="0" applyFont="1" applyFill="1" applyBorder="1" applyAlignment="1" applyProtection="0">
      <alignment vertical="center"/>
    </xf>
    <xf numFmtId="0" fontId="0" applyNumberFormat="1" applyFont="1" applyFill="0" applyBorder="0" applyAlignment="1" applyProtection="0">
      <alignment vertical="bottom"/>
    </xf>
    <xf numFmtId="0" fontId="0" borderId="14"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1f3864"/>
      <rgbColor rgb="ffaaaaaa"/>
      <rgbColor rgb="ffffffff"/>
      <rgbColor rgb="ffbfbfbf"/>
      <rgbColor rgb="fffff2cc"/>
      <rgbColor rgb="ffddebf7"/>
      <rgbColor rgb="ffe2efda"/>
      <rgbColor rgb="fffce4d6"/>
      <rgbColor rgb="ffe4dfe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14</v>
      </c>
      <c r="C11" s="3"/>
      <c r="D11" s="3"/>
    </row>
    <row r="12">
      <c r="B12" s="4"/>
      <c r="C12" t="s" s="4">
        <v>5</v>
      </c>
      <c r="D12" t="s" s="5">
        <v>14</v>
      </c>
    </row>
    <row r="13">
      <c r="B13" t="s" s="3">
        <v>16</v>
      </c>
      <c r="C13" s="3"/>
      <c r="D13" s="3"/>
    </row>
    <row r="14">
      <c r="B14" s="4"/>
      <c r="C14" t="s" s="4">
        <v>5</v>
      </c>
      <c r="D14" t="s" s="5">
        <v>16</v>
      </c>
    </row>
    <row r="15">
      <c r="B15" t="s" s="3">
        <v>18</v>
      </c>
      <c r="C15" s="3"/>
      <c r="D15" s="3"/>
    </row>
    <row r="16">
      <c r="B16" s="4"/>
      <c r="C16" t="s" s="4">
        <v>5</v>
      </c>
      <c r="D16" t="s" s="5">
        <v>18</v>
      </c>
    </row>
    <row r="17">
      <c r="B17" t="s" s="3">
        <v>20</v>
      </c>
      <c r="C17" s="3"/>
      <c r="D17" s="3"/>
    </row>
    <row r="18">
      <c r="B18" s="4"/>
      <c r="C18" t="s" s="4">
        <v>5</v>
      </c>
      <c r="D18" t="s" s="5">
        <v>20</v>
      </c>
    </row>
    <row r="19">
      <c r="B19" t="s" s="3">
        <v>22</v>
      </c>
      <c r="C19" s="3"/>
      <c r="D19" s="3"/>
    </row>
    <row r="20">
      <c r="B20" s="4"/>
      <c r="C20" t="s" s="4">
        <v>5</v>
      </c>
      <c r="D20" t="s" s="5">
        <v>22</v>
      </c>
    </row>
    <row r="21">
      <c r="B21" t="s" s="3">
        <v>24</v>
      </c>
      <c r="C21" s="3"/>
      <c r="D21" s="3"/>
    </row>
    <row r="22">
      <c r="B22" s="4"/>
      <c r="C22" t="s" s="4">
        <v>5</v>
      </c>
      <c r="D22" t="s" s="5">
        <v>24</v>
      </c>
    </row>
  </sheetData>
  <mergeCells count="1">
    <mergeCell ref="B3:D3"/>
  </mergeCells>
  <hyperlinks>
    <hyperlink ref="D10" location="'Info'!R1C1" tooltip="" display="Info"/>
    <hyperlink ref="D12" location="'Giocatori'!R1C1" tooltip="" display="Giocatori"/>
    <hyperlink ref="D14" location="'Squadre'!R1C1" tooltip="" display="Squadre"/>
    <hyperlink ref="D16" location="'Ballottaggi'!R1C1" tooltip="" display="Ballottaggi"/>
    <hyperlink ref="D18" location="'Piazzati'!R1C1" tooltip="" display="Piazzati"/>
    <hyperlink ref="D20" location="'Note'!R1C1" tooltip="" display="Note"/>
    <hyperlink ref="D22" location="'PuntiChiave'!R1C1" tooltip="" display="PuntiChiave"/>
  </hyperlinks>
</worksheet>
</file>

<file path=xl/worksheets/sheet2.xml><?xml version="1.0" encoding="utf-8"?>
<worksheet xmlns:r="http://schemas.openxmlformats.org/officeDocument/2006/relationships" xmlns="http://schemas.openxmlformats.org/spreadsheetml/2006/main">
  <dimension ref="A1:E30"/>
  <sheetViews>
    <sheetView workbookViewId="0" showGridLines="0" defaultGridColor="1"/>
  </sheetViews>
  <sheetFormatPr defaultColWidth="14.5" defaultRowHeight="15" customHeight="1" outlineLevelRow="0" outlineLevelCol="0"/>
  <cols>
    <col min="1" max="1" width="26" style="6" customWidth="1"/>
    <col min="2" max="2" width="95" style="6" customWidth="1"/>
    <col min="3" max="5" width="8.67188" style="6" customWidth="1"/>
    <col min="6" max="16384" width="14.5" style="6" customWidth="1"/>
  </cols>
  <sheetData>
    <row r="1" ht="18.5" customHeight="1">
      <c r="A1" t="s" s="7">
        <v>6</v>
      </c>
      <c r="B1" s="8"/>
      <c r="C1" s="8"/>
      <c r="D1" s="8"/>
      <c r="E1" s="9"/>
    </row>
    <row r="2" ht="13.65" customHeight="1">
      <c r="A2" s="10"/>
      <c r="B2" s="11"/>
      <c r="C2" s="12"/>
      <c r="D2" s="12"/>
      <c r="E2" s="13"/>
    </row>
    <row r="3" ht="13.65" customHeight="1">
      <c r="A3" s="10"/>
      <c r="B3" s="11"/>
      <c r="C3" s="12"/>
      <c r="D3" s="12"/>
      <c r="E3" s="13"/>
    </row>
    <row r="4" ht="13.65" customHeight="1">
      <c r="A4" t="s" s="14">
        <v>7</v>
      </c>
      <c r="B4" t="s" s="15">
        <v>8</v>
      </c>
      <c r="C4" s="12"/>
      <c r="D4" s="12"/>
      <c r="E4" s="13"/>
    </row>
    <row r="5" ht="13.65" customHeight="1">
      <c r="A5" t="s" s="14">
        <v>9</v>
      </c>
      <c r="B5" t="s" s="15">
        <v>10</v>
      </c>
      <c r="C5" s="12"/>
      <c r="D5" s="12"/>
      <c r="E5" s="13"/>
    </row>
    <row r="6" ht="13.65" customHeight="1">
      <c r="A6" t="s" s="14">
        <v>11</v>
      </c>
      <c r="B6" s="16" cm="1">
        <f t="array" ref="B6">COUNTA('Squadre'!A4:A100)</f>
        <v>20</v>
      </c>
      <c r="C6" s="12"/>
      <c r="D6" s="12"/>
      <c r="E6" s="13"/>
    </row>
    <row r="7" ht="13.65" customHeight="1">
      <c r="A7" t="s" s="14">
        <v>12</v>
      </c>
      <c r="B7" s="16" cm="1">
        <f t="array" ref="B7">COUNTA('Giocatori'!C2:C505)</f>
        <v>504</v>
      </c>
      <c r="C7" s="12"/>
      <c r="D7" s="12"/>
      <c r="E7" s="13"/>
    </row>
    <row r="8" ht="13.65" customHeight="1">
      <c r="A8" s="10"/>
      <c r="B8" s="11"/>
      <c r="C8" s="12"/>
      <c r="D8" s="12"/>
      <c r="E8" s="13"/>
    </row>
    <row r="9" ht="14.6" customHeight="1">
      <c r="A9" t="s" s="17">
        <v>13</v>
      </c>
      <c r="B9" s="18"/>
      <c r="C9" s="12"/>
      <c r="D9" s="12"/>
      <c r="E9" s="13"/>
    </row>
    <row r="10" ht="13.65" customHeight="1">
      <c r="A10" t="s" s="14">
        <v>14</v>
      </c>
      <c r="B10" t="s" s="15">
        <v>15</v>
      </c>
      <c r="C10" s="12"/>
      <c r="D10" s="12"/>
      <c r="E10" s="13"/>
    </row>
    <row r="11" ht="13.65" customHeight="1">
      <c r="A11" t="s" s="14">
        <v>16</v>
      </c>
      <c r="B11" t="s" s="15">
        <v>17</v>
      </c>
      <c r="C11" s="12"/>
      <c r="D11" s="12"/>
      <c r="E11" s="13"/>
    </row>
    <row r="12" ht="13.65" customHeight="1">
      <c r="A12" t="s" s="14">
        <v>18</v>
      </c>
      <c r="B12" t="s" s="15">
        <v>19</v>
      </c>
      <c r="C12" s="12"/>
      <c r="D12" s="12"/>
      <c r="E12" s="13"/>
    </row>
    <row r="13" ht="13.65" customHeight="1">
      <c r="A13" t="s" s="14">
        <v>20</v>
      </c>
      <c r="B13" t="s" s="15">
        <v>21</v>
      </c>
      <c r="C13" s="12"/>
      <c r="D13" s="12"/>
      <c r="E13" s="13"/>
    </row>
    <row r="14" ht="13.65" customHeight="1">
      <c r="A14" t="s" s="14">
        <v>22</v>
      </c>
      <c r="B14" t="s" s="15">
        <v>23</v>
      </c>
      <c r="C14" s="12"/>
      <c r="D14" s="12"/>
      <c r="E14" s="13"/>
    </row>
    <row r="15" ht="13.65" customHeight="1">
      <c r="A15" t="s" s="14">
        <v>24</v>
      </c>
      <c r="B15" t="s" s="15">
        <v>25</v>
      </c>
      <c r="C15" s="12"/>
      <c r="D15" s="12"/>
      <c r="E15" s="13"/>
    </row>
    <row r="16" ht="13.65" customHeight="1">
      <c r="A16" s="10"/>
      <c r="B16" s="11"/>
      <c r="C16" s="12"/>
      <c r="D16" s="12"/>
      <c r="E16" s="13"/>
    </row>
    <row r="17" ht="14.6" customHeight="1">
      <c r="A17" t="s" s="17">
        <v>26</v>
      </c>
      <c r="B17" s="18"/>
      <c r="C17" s="12"/>
      <c r="D17" s="12"/>
      <c r="E17" s="13"/>
    </row>
    <row r="18" ht="13.65" customHeight="1">
      <c r="A18" t="s" s="14">
        <v>27</v>
      </c>
      <c r="B18" t="s" s="15">
        <v>28</v>
      </c>
      <c r="C18" s="12"/>
      <c r="D18" s="12"/>
      <c r="E18" s="13"/>
    </row>
    <row r="19" ht="13.65" customHeight="1">
      <c r="A19" t="s" s="14">
        <v>29</v>
      </c>
      <c r="B19" t="s" s="15">
        <v>30</v>
      </c>
      <c r="C19" s="12"/>
      <c r="D19" s="12"/>
      <c r="E19" s="13"/>
    </row>
    <row r="20" ht="13.65" customHeight="1">
      <c r="A20" t="s" s="14">
        <v>31</v>
      </c>
      <c r="B20" t="s" s="15">
        <v>32</v>
      </c>
      <c r="C20" s="12"/>
      <c r="D20" s="12"/>
      <c r="E20" s="13"/>
    </row>
    <row r="21" ht="15.75" customHeight="1">
      <c r="A21" t="s" s="14">
        <v>33</v>
      </c>
      <c r="B21" t="s" s="15">
        <v>34</v>
      </c>
      <c r="C21" s="12"/>
      <c r="D21" s="12"/>
      <c r="E21" s="13"/>
    </row>
    <row r="22" ht="15.75" customHeight="1">
      <c r="A22" t="s" s="14">
        <v>35</v>
      </c>
      <c r="B22" t="s" s="15">
        <v>36</v>
      </c>
      <c r="C22" s="12"/>
      <c r="D22" s="12"/>
      <c r="E22" s="13"/>
    </row>
    <row r="23" ht="15.75" customHeight="1">
      <c r="A23" t="s" s="14">
        <v>37</v>
      </c>
      <c r="B23" t="s" s="15">
        <v>38</v>
      </c>
      <c r="C23" s="12"/>
      <c r="D23" s="12"/>
      <c r="E23" s="13"/>
    </row>
    <row r="24" ht="15.75" customHeight="1">
      <c r="A24" t="s" s="14">
        <v>39</v>
      </c>
      <c r="B24" t="s" s="15">
        <v>40</v>
      </c>
      <c r="C24" s="12"/>
      <c r="D24" s="12"/>
      <c r="E24" s="13"/>
    </row>
    <row r="25" ht="15.75" customHeight="1">
      <c r="A25" t="s" s="14">
        <v>41</v>
      </c>
      <c r="B25" t="s" s="15">
        <v>42</v>
      </c>
      <c r="C25" s="12"/>
      <c r="D25" s="12"/>
      <c r="E25" s="13"/>
    </row>
    <row r="26" ht="15.75" customHeight="1">
      <c r="A26" s="10"/>
      <c r="B26" s="11"/>
      <c r="C26" s="12"/>
      <c r="D26" s="12"/>
      <c r="E26" s="13"/>
    </row>
    <row r="27" ht="15.75" customHeight="1">
      <c r="A27" t="s" s="17">
        <v>43</v>
      </c>
      <c r="B27" s="18"/>
      <c r="C27" s="12"/>
      <c r="D27" s="12"/>
      <c r="E27" s="13"/>
    </row>
    <row r="28" ht="15.75" customHeight="1">
      <c r="A28" t="s" s="14">
        <v>44</v>
      </c>
      <c r="B28" t="s" s="15">
        <v>45</v>
      </c>
      <c r="C28" s="12"/>
      <c r="D28" s="12"/>
      <c r="E28" s="13"/>
    </row>
    <row r="29" ht="15.75" customHeight="1">
      <c r="A29" t="s" s="14">
        <v>46</v>
      </c>
      <c r="B29" t="s" s="15">
        <v>47</v>
      </c>
      <c r="C29" s="12"/>
      <c r="D29" s="12"/>
      <c r="E29" s="13"/>
    </row>
    <row r="30" ht="15.75" customHeight="1">
      <c r="A30" t="s" s="19">
        <v>48</v>
      </c>
      <c r="B30" t="s" s="20">
        <v>49</v>
      </c>
      <c r="C30" s="21"/>
      <c r="D30" s="21"/>
      <c r="E30" s="22"/>
    </row>
  </sheetData>
  <pageMargins left="0.75" right="0.75" top="1" bottom="1" header="0" footer="0"/>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Q505"/>
  <sheetViews>
    <sheetView workbookViewId="0" showGridLines="0" defaultGridColor="1"/>
  </sheetViews>
  <sheetFormatPr defaultColWidth="14.5" defaultRowHeight="15" customHeight="1" outlineLevelRow="0" outlineLevelCol="0"/>
  <cols>
    <col min="1" max="1" width="14" style="23" customWidth="1"/>
    <col min="2" max="2" width="7" style="23" customWidth="1"/>
    <col min="3" max="3" width="22" style="23" customWidth="1"/>
    <col min="4" max="4" width="11" style="23" customWidth="1"/>
    <col min="5" max="6" width="7" style="23" customWidth="1"/>
    <col min="7" max="7" width="8" style="23" customWidth="1"/>
    <col min="8" max="10" width="10" style="23" customWidth="1"/>
    <col min="11" max="11" width="9" style="23" customWidth="1"/>
    <col min="12" max="12" width="26" style="23" customWidth="1"/>
    <col min="13" max="14" width="11" style="23" customWidth="1"/>
    <col min="15" max="15" width="13" style="23" customWidth="1"/>
    <col min="16" max="16" width="9" style="23" customWidth="1"/>
    <col min="17" max="17" width="60" style="23" customWidth="1"/>
    <col min="18" max="16384" width="14.5" style="23" customWidth="1"/>
  </cols>
  <sheetData>
    <row r="1" ht="30" customHeight="1">
      <c r="A1" t="s" s="24">
        <v>50</v>
      </c>
      <c r="B1" t="s" s="24">
        <v>27</v>
      </c>
      <c r="C1" t="s" s="24">
        <v>51</v>
      </c>
      <c r="D1" t="s" s="24">
        <v>29</v>
      </c>
      <c r="E1" t="s" s="24">
        <v>31</v>
      </c>
      <c r="F1" t="s" s="24">
        <v>33</v>
      </c>
      <c r="G1" t="s" s="24">
        <v>35</v>
      </c>
      <c r="H1" t="s" s="24">
        <v>52</v>
      </c>
      <c r="I1" t="s" s="24">
        <v>53</v>
      </c>
      <c r="J1" t="s" s="24">
        <v>54</v>
      </c>
      <c r="K1" t="s" s="24">
        <v>55</v>
      </c>
      <c r="L1" t="s" s="24">
        <v>41</v>
      </c>
      <c r="M1" t="s" s="24">
        <v>56</v>
      </c>
      <c r="N1" t="s" s="24">
        <v>57</v>
      </c>
      <c r="O1" t="s" s="24">
        <v>58</v>
      </c>
      <c r="P1" t="s" s="24">
        <v>59</v>
      </c>
      <c r="Q1" t="s" s="24">
        <v>60</v>
      </c>
    </row>
    <row r="2" ht="13.65" customHeight="1">
      <c r="A2" t="s" s="25">
        <v>61</v>
      </c>
      <c r="B2" t="s" s="26">
        <v>62</v>
      </c>
      <c r="C2" t="s" s="25">
        <v>63</v>
      </c>
      <c r="D2" s="27">
        <v>0.95</v>
      </c>
      <c r="E2" s="28">
        <v>6.36</v>
      </c>
      <c r="F2" s="28">
        <v>5.58</v>
      </c>
      <c r="G2" s="27">
        <v>0.066</v>
      </c>
      <c r="H2" t="s" s="29">
        <v>64</v>
      </c>
      <c r="I2" s="30"/>
      <c r="J2" s="30"/>
      <c r="K2" s="30"/>
      <c r="L2" s="31"/>
      <c r="M2" s="30"/>
      <c r="N2" s="30"/>
      <c r="O2" s="30"/>
      <c r="P2" s="30"/>
      <c r="Q2" s="31"/>
    </row>
    <row r="3" ht="13.65" customHeight="1">
      <c r="A3" t="s" s="25">
        <v>61</v>
      </c>
      <c r="B3" t="s" s="26">
        <v>62</v>
      </c>
      <c r="C3" t="s" s="25">
        <v>65</v>
      </c>
      <c r="D3" s="27">
        <v>0.01</v>
      </c>
      <c r="E3" s="28">
        <v>5.5</v>
      </c>
      <c r="F3" s="28">
        <v>4.5</v>
      </c>
      <c r="G3" s="27">
        <v>0.002</v>
      </c>
      <c r="H3" s="30"/>
      <c r="I3" s="30"/>
      <c r="J3" s="30"/>
      <c r="K3" s="30"/>
      <c r="L3" s="31"/>
      <c r="M3" s="30"/>
      <c r="N3" s="30"/>
      <c r="O3" s="30"/>
      <c r="P3" s="30"/>
      <c r="Q3" s="31"/>
    </row>
    <row r="4" ht="13.65" customHeight="1">
      <c r="A4" t="s" s="25">
        <v>61</v>
      </c>
      <c r="B4" t="s" s="26">
        <v>62</v>
      </c>
      <c r="C4" t="s" s="25">
        <v>66</v>
      </c>
      <c r="D4" s="27">
        <v>0.01</v>
      </c>
      <c r="E4" s="28">
        <v>0</v>
      </c>
      <c r="F4" s="28">
        <v>0</v>
      </c>
      <c r="G4" s="27">
        <v>0.002</v>
      </c>
      <c r="H4" s="30"/>
      <c r="I4" s="30"/>
      <c r="J4" s="30"/>
      <c r="K4" s="30"/>
      <c r="L4" s="31"/>
      <c r="M4" s="30"/>
      <c r="N4" s="30"/>
      <c r="O4" s="30"/>
      <c r="P4" s="30"/>
      <c r="Q4" s="31"/>
    </row>
    <row r="5" ht="13.65" customHeight="1">
      <c r="A5" t="s" s="25">
        <v>61</v>
      </c>
      <c r="B5" t="s" s="32">
        <v>67</v>
      </c>
      <c r="C5" t="s" s="25">
        <v>68</v>
      </c>
      <c r="D5" s="27">
        <v>0.95</v>
      </c>
      <c r="E5" s="28">
        <v>6.09</v>
      </c>
      <c r="F5" s="28">
        <v>6.16</v>
      </c>
      <c r="G5" s="27">
        <v>0.01</v>
      </c>
      <c r="H5" t="s" s="29">
        <v>64</v>
      </c>
      <c r="I5" s="30"/>
      <c r="J5" s="30"/>
      <c r="K5" s="33">
        <v>3</v>
      </c>
      <c r="L5" t="s" s="34">
        <v>69</v>
      </c>
      <c r="M5" s="30"/>
      <c r="N5" s="30"/>
      <c r="O5" s="30"/>
      <c r="P5" t="s" s="29">
        <v>64</v>
      </c>
      <c r="Q5" t="s" s="34">
        <v>70</v>
      </c>
    </row>
    <row r="6" ht="13.65" customHeight="1">
      <c r="A6" t="s" s="25">
        <v>61</v>
      </c>
      <c r="B6" t="s" s="32">
        <v>67</v>
      </c>
      <c r="C6" t="s" s="25">
        <v>71</v>
      </c>
      <c r="D6" s="27">
        <v>0.95</v>
      </c>
      <c r="E6" s="28">
        <v>6.06</v>
      </c>
      <c r="F6" s="28">
        <v>6.44</v>
      </c>
      <c r="G6" s="27">
        <v>0.012</v>
      </c>
      <c r="H6" t="s" s="29">
        <v>64</v>
      </c>
      <c r="I6" s="30"/>
      <c r="J6" s="30"/>
      <c r="K6" s="30"/>
      <c r="L6" s="31"/>
      <c r="M6" t="s" s="29">
        <v>64</v>
      </c>
      <c r="N6" s="30"/>
      <c r="O6" s="30"/>
      <c r="P6" s="30"/>
      <c r="Q6" t="s" s="34">
        <v>72</v>
      </c>
    </row>
    <row r="7" ht="13.65" customHeight="1">
      <c r="A7" t="s" s="25">
        <v>61</v>
      </c>
      <c r="B7" t="s" s="32">
        <v>67</v>
      </c>
      <c r="C7" t="s" s="25">
        <v>73</v>
      </c>
      <c r="D7" s="27">
        <v>0.75</v>
      </c>
      <c r="E7" s="28">
        <v>5.98</v>
      </c>
      <c r="F7" s="28">
        <v>6.23</v>
      </c>
      <c r="G7" s="27">
        <v>0.006</v>
      </c>
      <c r="H7" t="s" s="29">
        <v>64</v>
      </c>
      <c r="I7" s="30"/>
      <c r="J7" s="30"/>
      <c r="K7" s="30"/>
      <c r="L7" t="s" s="34">
        <v>74</v>
      </c>
      <c r="M7" s="30"/>
      <c r="N7" s="30"/>
      <c r="O7" s="30"/>
      <c r="P7" s="30"/>
      <c r="Q7" s="31"/>
    </row>
    <row r="8" ht="13.65" customHeight="1">
      <c r="A8" t="s" s="25">
        <v>61</v>
      </c>
      <c r="B8" t="s" s="32">
        <v>67</v>
      </c>
      <c r="C8" t="s" s="25">
        <v>75</v>
      </c>
      <c r="D8" s="27">
        <v>0.75</v>
      </c>
      <c r="E8" s="28">
        <v>6.06</v>
      </c>
      <c r="F8" s="28">
        <v>6.3</v>
      </c>
      <c r="G8" s="27">
        <v>0.01</v>
      </c>
      <c r="H8" t="s" s="29">
        <v>64</v>
      </c>
      <c r="I8" s="30"/>
      <c r="J8" s="30"/>
      <c r="K8" s="30"/>
      <c r="L8" t="s" s="34">
        <v>76</v>
      </c>
      <c r="M8" s="30"/>
      <c r="N8" s="30"/>
      <c r="O8" s="30"/>
      <c r="P8" s="30"/>
      <c r="Q8" s="31"/>
    </row>
    <row r="9" ht="13.65" customHeight="1">
      <c r="A9" t="s" s="25">
        <v>61</v>
      </c>
      <c r="B9" t="s" s="32">
        <v>67</v>
      </c>
      <c r="C9" t="s" s="25">
        <v>77</v>
      </c>
      <c r="D9" s="27">
        <v>0.5</v>
      </c>
      <c r="E9" s="28">
        <v>5.79</v>
      </c>
      <c r="F9" s="28">
        <v>5.69</v>
      </c>
      <c r="G9" s="27">
        <v>0.002</v>
      </c>
      <c r="H9" s="30"/>
      <c r="I9" s="30"/>
      <c r="J9" s="30"/>
      <c r="K9" s="30"/>
      <c r="L9" t="s" s="34">
        <v>78</v>
      </c>
      <c r="M9" s="30"/>
      <c r="N9" s="30"/>
      <c r="O9" s="30"/>
      <c r="P9" s="30"/>
      <c r="Q9" s="31"/>
    </row>
    <row r="10" ht="13.65" customHeight="1">
      <c r="A10" t="s" s="25">
        <v>61</v>
      </c>
      <c r="B10" t="s" s="32">
        <v>67</v>
      </c>
      <c r="C10" t="s" s="25">
        <v>79</v>
      </c>
      <c r="D10" s="27">
        <v>0.5</v>
      </c>
      <c r="E10" s="28">
        <v>5.82</v>
      </c>
      <c r="F10" s="28">
        <v>5.82</v>
      </c>
      <c r="G10" s="27">
        <v>0.004</v>
      </c>
      <c r="H10" s="30"/>
      <c r="I10" s="30"/>
      <c r="J10" s="30"/>
      <c r="K10" s="30"/>
      <c r="L10" t="s" s="34">
        <v>80</v>
      </c>
      <c r="M10" s="30"/>
      <c r="N10" s="30"/>
      <c r="O10" s="30"/>
      <c r="P10" s="30"/>
      <c r="Q10" s="31"/>
    </row>
    <row r="11" ht="13.65" customHeight="1">
      <c r="A11" t="s" s="25">
        <v>61</v>
      </c>
      <c r="B11" t="s" s="32">
        <v>67</v>
      </c>
      <c r="C11" t="s" s="25">
        <v>81</v>
      </c>
      <c r="D11" s="27">
        <v>0.5</v>
      </c>
      <c r="E11" s="28">
        <v>5.91</v>
      </c>
      <c r="F11" s="28">
        <v>5.86</v>
      </c>
      <c r="G11" s="27">
        <v>0.002</v>
      </c>
      <c r="H11" s="30"/>
      <c r="I11" s="30"/>
      <c r="J11" s="30"/>
      <c r="K11" s="30"/>
      <c r="L11" s="31"/>
      <c r="M11" s="30"/>
      <c r="N11" s="30"/>
      <c r="O11" s="30"/>
      <c r="P11" s="30"/>
      <c r="Q11" s="31"/>
    </row>
    <row r="12" ht="13.65" customHeight="1">
      <c r="A12" t="s" s="25">
        <v>61</v>
      </c>
      <c r="B12" t="s" s="32">
        <v>67</v>
      </c>
      <c r="C12" t="s" s="25">
        <v>82</v>
      </c>
      <c r="D12" s="27">
        <v>0.5</v>
      </c>
      <c r="E12" s="28">
        <v>6.03</v>
      </c>
      <c r="F12" s="28">
        <v>5.94</v>
      </c>
      <c r="G12" s="27">
        <v>0.002</v>
      </c>
      <c r="H12" s="30"/>
      <c r="I12" s="30"/>
      <c r="J12" s="30"/>
      <c r="K12" s="30"/>
      <c r="L12" t="s" s="34">
        <v>83</v>
      </c>
      <c r="M12" s="30"/>
      <c r="N12" s="30"/>
      <c r="O12" s="30"/>
      <c r="P12" s="30"/>
      <c r="Q12" s="31"/>
    </row>
    <row r="13" ht="13.65" customHeight="1">
      <c r="A13" t="s" s="25">
        <v>61</v>
      </c>
      <c r="B13" t="s" s="32">
        <v>67</v>
      </c>
      <c r="C13" t="s" s="25">
        <v>84</v>
      </c>
      <c r="D13" s="27">
        <v>0.25</v>
      </c>
      <c r="E13" s="28">
        <v>5.94</v>
      </c>
      <c r="F13" s="28">
        <v>6.1</v>
      </c>
      <c r="G13" s="27">
        <v>0.002</v>
      </c>
      <c r="H13" s="30"/>
      <c r="I13" s="30"/>
      <c r="J13" s="30"/>
      <c r="K13" s="30"/>
      <c r="L13" s="31"/>
      <c r="M13" s="30"/>
      <c r="N13" t="s" s="29">
        <v>64</v>
      </c>
      <c r="O13" s="30"/>
      <c r="P13" s="30"/>
      <c r="Q13" t="s" s="34">
        <v>85</v>
      </c>
    </row>
    <row r="14" ht="13.65" customHeight="1">
      <c r="A14" t="s" s="25">
        <v>61</v>
      </c>
      <c r="B14" t="s" s="35">
        <v>86</v>
      </c>
      <c r="C14" t="s" s="25">
        <v>87</v>
      </c>
      <c r="D14" s="27">
        <v>0.95</v>
      </c>
      <c r="E14" s="28">
        <v>6.25</v>
      </c>
      <c r="F14" s="28">
        <v>6.43</v>
      </c>
      <c r="G14" s="27">
        <v>0.027</v>
      </c>
      <c r="H14" t="s" s="29">
        <v>64</v>
      </c>
      <c r="I14" s="33">
        <v>3</v>
      </c>
      <c r="J14" s="30"/>
      <c r="K14" s="30"/>
      <c r="L14" s="31"/>
      <c r="M14" s="30"/>
      <c r="N14" s="30"/>
      <c r="O14" s="30"/>
      <c r="P14" s="30"/>
      <c r="Q14" s="31"/>
    </row>
    <row r="15" ht="13.65" customHeight="1">
      <c r="A15" t="s" s="25">
        <v>61</v>
      </c>
      <c r="B15" t="s" s="35">
        <v>86</v>
      </c>
      <c r="C15" t="s" s="25">
        <v>88</v>
      </c>
      <c r="D15" s="27">
        <v>0.5</v>
      </c>
      <c r="E15" s="28">
        <v>5.97</v>
      </c>
      <c r="F15" s="28">
        <v>6</v>
      </c>
      <c r="G15" s="27">
        <v>0.002</v>
      </c>
      <c r="H15" s="30"/>
      <c r="I15" s="30"/>
      <c r="J15" s="30"/>
      <c r="K15" s="30"/>
      <c r="L15" t="s" s="34">
        <v>89</v>
      </c>
      <c r="M15" s="30"/>
      <c r="N15" t="s" s="29">
        <v>64</v>
      </c>
      <c r="O15" s="30"/>
      <c r="P15" s="30"/>
      <c r="Q15" t="s" s="34">
        <v>90</v>
      </c>
    </row>
    <row r="16" ht="13.65" customHeight="1">
      <c r="A16" t="s" s="25">
        <v>61</v>
      </c>
      <c r="B16" t="s" s="35">
        <v>86</v>
      </c>
      <c r="C16" t="s" s="25">
        <v>91</v>
      </c>
      <c r="D16" s="27">
        <v>0.5</v>
      </c>
      <c r="E16" s="28">
        <v>6.06</v>
      </c>
      <c r="F16" s="28">
        <v>6.31</v>
      </c>
      <c r="G16" s="27">
        <v>0.004</v>
      </c>
      <c r="H16" t="s" s="29">
        <v>64</v>
      </c>
      <c r="I16" s="30"/>
      <c r="J16" s="33">
        <v>2</v>
      </c>
      <c r="K16" s="33">
        <v>2</v>
      </c>
      <c r="L16" t="s" s="34">
        <v>92</v>
      </c>
      <c r="M16" s="30"/>
      <c r="N16" s="30"/>
      <c r="O16" s="30"/>
      <c r="P16" s="30"/>
      <c r="Q16" s="31"/>
    </row>
    <row r="17" ht="13.65" customHeight="1">
      <c r="A17" t="s" s="25">
        <v>61</v>
      </c>
      <c r="B17" t="s" s="35">
        <v>86</v>
      </c>
      <c r="C17" t="s" s="25">
        <v>93</v>
      </c>
      <c r="D17" s="27">
        <v>0.5</v>
      </c>
      <c r="E17" s="28">
        <v>5.94</v>
      </c>
      <c r="F17" s="28">
        <v>6.28</v>
      </c>
      <c r="G17" s="27">
        <v>0.002</v>
      </c>
      <c r="H17" s="30"/>
      <c r="I17" s="30"/>
      <c r="J17" s="30"/>
      <c r="K17" s="30"/>
      <c r="L17" t="s" s="34">
        <v>94</v>
      </c>
      <c r="M17" s="30"/>
      <c r="N17" s="30"/>
      <c r="O17" s="30"/>
      <c r="P17" s="30"/>
      <c r="Q17" s="31"/>
    </row>
    <row r="18" ht="13.65" customHeight="1">
      <c r="A18" t="s" s="25">
        <v>61</v>
      </c>
      <c r="B18" t="s" s="35">
        <v>86</v>
      </c>
      <c r="C18" t="s" s="25">
        <v>95</v>
      </c>
      <c r="D18" s="27">
        <v>0.5</v>
      </c>
      <c r="E18" s="28">
        <v>5.93</v>
      </c>
      <c r="F18" s="28">
        <v>6.29</v>
      </c>
      <c r="G18" s="27">
        <v>0.038</v>
      </c>
      <c r="H18" t="s" s="29">
        <v>64</v>
      </c>
      <c r="I18" s="33">
        <v>2</v>
      </c>
      <c r="J18" s="33">
        <v>1</v>
      </c>
      <c r="K18" s="33">
        <v>1</v>
      </c>
      <c r="L18" t="s" s="34">
        <v>96</v>
      </c>
      <c r="M18" s="30"/>
      <c r="N18" s="30"/>
      <c r="O18" t="s" s="29">
        <v>64</v>
      </c>
      <c r="P18" s="30"/>
      <c r="Q18" t="s" s="34">
        <v>97</v>
      </c>
    </row>
    <row r="19" ht="13.65" customHeight="1">
      <c r="A19" t="s" s="25">
        <v>61</v>
      </c>
      <c r="B19" t="s" s="35">
        <v>86</v>
      </c>
      <c r="C19" t="s" s="25">
        <v>98</v>
      </c>
      <c r="D19" s="27">
        <v>0.5</v>
      </c>
      <c r="E19" s="28">
        <v>6.1</v>
      </c>
      <c r="F19" s="28">
        <v>6.41</v>
      </c>
      <c r="G19" s="27">
        <v>0.002</v>
      </c>
      <c r="H19" s="30"/>
      <c r="I19" s="30"/>
      <c r="J19" s="30"/>
      <c r="K19" s="30"/>
      <c r="L19" s="31"/>
      <c r="M19" s="30"/>
      <c r="N19" s="30"/>
      <c r="O19" s="30"/>
      <c r="P19" s="30"/>
      <c r="Q19" s="31"/>
    </row>
    <row r="20" ht="13.65" customHeight="1">
      <c r="A20" t="s" s="25">
        <v>61</v>
      </c>
      <c r="B20" t="s" s="35">
        <v>86</v>
      </c>
      <c r="C20" t="s" s="25">
        <v>99</v>
      </c>
      <c r="D20" s="27">
        <v>0.25</v>
      </c>
      <c r="E20" s="28">
        <v>5.69</v>
      </c>
      <c r="F20" s="28">
        <v>5.77</v>
      </c>
      <c r="G20" s="27">
        <v>0.002</v>
      </c>
      <c r="H20" s="30"/>
      <c r="I20" s="30"/>
      <c r="J20" s="30"/>
      <c r="K20" s="30"/>
      <c r="L20" s="31"/>
      <c r="M20" s="30"/>
      <c r="N20" s="30"/>
      <c r="O20" s="30"/>
      <c r="P20" s="30"/>
      <c r="Q20" s="31"/>
    </row>
    <row r="21" ht="15.75" customHeight="1">
      <c r="A21" t="s" s="25">
        <v>61</v>
      </c>
      <c r="B21" t="s" s="36">
        <v>100</v>
      </c>
      <c r="C21" t="s" s="25">
        <v>101</v>
      </c>
      <c r="D21" s="27">
        <v>0.95</v>
      </c>
      <c r="E21" s="28">
        <v>6.21</v>
      </c>
      <c r="F21" s="28">
        <v>6.6</v>
      </c>
      <c r="G21" s="27">
        <v>0.066</v>
      </c>
      <c r="H21" t="s" s="29">
        <v>64</v>
      </c>
      <c r="I21" s="30"/>
      <c r="J21" s="30"/>
      <c r="K21" s="30"/>
      <c r="L21" s="31"/>
      <c r="M21" s="30"/>
      <c r="N21" s="30"/>
      <c r="O21" s="30"/>
      <c r="P21" s="30"/>
      <c r="Q21" s="31"/>
    </row>
    <row r="22" ht="15.75" customHeight="1">
      <c r="A22" t="s" s="25">
        <v>61</v>
      </c>
      <c r="B22" t="s" s="36">
        <v>100</v>
      </c>
      <c r="C22" t="s" s="25">
        <v>102</v>
      </c>
      <c r="D22" s="27">
        <v>0.75</v>
      </c>
      <c r="E22" s="28">
        <v>6.12</v>
      </c>
      <c r="F22" s="28">
        <v>6.89</v>
      </c>
      <c r="G22" s="27">
        <v>0.038</v>
      </c>
      <c r="H22" t="s" s="29">
        <v>64</v>
      </c>
      <c r="I22" s="30"/>
      <c r="J22" s="30"/>
      <c r="K22" s="30"/>
      <c r="L22" s="31"/>
      <c r="M22" t="s" s="29">
        <v>64</v>
      </c>
      <c r="N22" s="30"/>
      <c r="O22" s="30"/>
      <c r="P22" s="30"/>
      <c r="Q22" t="s" s="34">
        <v>103</v>
      </c>
    </row>
    <row r="23" ht="15.75" customHeight="1">
      <c r="A23" t="s" s="25">
        <v>61</v>
      </c>
      <c r="B23" t="s" s="36">
        <v>100</v>
      </c>
      <c r="C23" t="s" s="25">
        <v>104</v>
      </c>
      <c r="D23" s="27">
        <v>0.5</v>
      </c>
      <c r="E23" s="28">
        <v>6.16</v>
      </c>
      <c r="F23" s="28">
        <v>7.19</v>
      </c>
      <c r="G23" s="27">
        <v>0.064</v>
      </c>
      <c r="H23" s="30"/>
      <c r="I23" s="30"/>
      <c r="J23" s="30"/>
      <c r="K23" s="30"/>
      <c r="L23" t="s" s="34">
        <v>105</v>
      </c>
      <c r="M23" s="30"/>
      <c r="N23" s="30"/>
      <c r="O23" s="30"/>
      <c r="P23" s="30"/>
      <c r="Q23" s="31"/>
    </row>
    <row r="24" ht="15.75" customHeight="1">
      <c r="A24" t="s" s="25">
        <v>61</v>
      </c>
      <c r="B24" t="s" s="36">
        <v>100</v>
      </c>
      <c r="C24" t="s" s="25">
        <v>106</v>
      </c>
      <c r="D24" s="27">
        <v>0.5</v>
      </c>
      <c r="E24" s="28">
        <v>6.18</v>
      </c>
      <c r="F24" s="28">
        <v>7.54</v>
      </c>
      <c r="G24" s="27">
        <v>0.11</v>
      </c>
      <c r="H24" t="s" s="29">
        <v>64</v>
      </c>
      <c r="I24" s="33">
        <v>1</v>
      </c>
      <c r="J24" s="30"/>
      <c r="K24" s="30"/>
      <c r="L24" t="s" s="34">
        <v>107</v>
      </c>
      <c r="M24" s="30"/>
      <c r="N24" s="30"/>
      <c r="O24" s="30"/>
      <c r="P24" s="30"/>
      <c r="Q24" s="31"/>
    </row>
    <row r="25" ht="15.75" customHeight="1">
      <c r="A25" t="s" s="25">
        <v>61</v>
      </c>
      <c r="B25" t="s" s="36">
        <v>100</v>
      </c>
      <c r="C25" t="s" s="25">
        <v>108</v>
      </c>
      <c r="D25" s="27">
        <v>0.01</v>
      </c>
      <c r="E25" s="28">
        <v>6</v>
      </c>
      <c r="F25" s="28">
        <v>6.24</v>
      </c>
      <c r="G25" s="27">
        <v>0.002</v>
      </c>
      <c r="H25" s="30"/>
      <c r="I25" s="30"/>
      <c r="J25" s="30"/>
      <c r="K25" s="30"/>
      <c r="L25" s="31"/>
      <c r="M25" s="30"/>
      <c r="N25" s="30"/>
      <c r="O25" s="30"/>
      <c r="P25" s="30"/>
      <c r="Q25" s="31"/>
    </row>
    <row r="26" ht="15.75" customHeight="1">
      <c r="A26" t="s" s="25">
        <v>109</v>
      </c>
      <c r="B26" t="s" s="26">
        <v>62</v>
      </c>
      <c r="C26" t="s" s="25">
        <v>110</v>
      </c>
      <c r="D26" s="27">
        <v>0.75</v>
      </c>
      <c r="E26" s="28">
        <v>6.19</v>
      </c>
      <c r="F26" s="28">
        <v>5.27</v>
      </c>
      <c r="G26" s="27">
        <v>0.014</v>
      </c>
      <c r="H26" t="s" s="29">
        <v>64</v>
      </c>
      <c r="I26" s="30"/>
      <c r="J26" s="30"/>
      <c r="K26" s="30"/>
      <c r="L26" s="31"/>
      <c r="M26" s="30"/>
      <c r="N26" s="30"/>
      <c r="O26" s="30"/>
      <c r="P26" s="30"/>
      <c r="Q26" s="31"/>
    </row>
    <row r="27" ht="15.75" customHeight="1">
      <c r="A27" t="s" s="25">
        <v>109</v>
      </c>
      <c r="B27" t="s" s="26">
        <v>62</v>
      </c>
      <c r="C27" t="s" s="25">
        <v>111</v>
      </c>
      <c r="D27" s="27">
        <v>0.25</v>
      </c>
      <c r="E27" s="28">
        <v>6.13</v>
      </c>
      <c r="F27" s="28">
        <v>5.63</v>
      </c>
      <c r="G27" s="27">
        <v>0.002</v>
      </c>
      <c r="H27" s="30"/>
      <c r="I27" s="30"/>
      <c r="J27" s="30"/>
      <c r="K27" s="30"/>
      <c r="L27" s="31"/>
      <c r="M27" s="30"/>
      <c r="N27" s="30"/>
      <c r="O27" s="30"/>
      <c r="P27" s="30"/>
      <c r="Q27" s="31"/>
    </row>
    <row r="28" ht="15.75" customHeight="1">
      <c r="A28" t="s" s="25">
        <v>109</v>
      </c>
      <c r="B28" t="s" s="26">
        <v>62</v>
      </c>
      <c r="C28" t="s" s="25">
        <v>112</v>
      </c>
      <c r="D28" s="27">
        <v>0.01</v>
      </c>
      <c r="E28" s="28">
        <v>0</v>
      </c>
      <c r="F28" s="28">
        <v>0</v>
      </c>
      <c r="G28" s="27">
        <v>0.002</v>
      </c>
      <c r="H28" s="30"/>
      <c r="I28" s="30"/>
      <c r="J28" s="30"/>
      <c r="K28" s="30"/>
      <c r="L28" s="31"/>
      <c r="M28" s="30"/>
      <c r="N28" s="30"/>
      <c r="O28" s="30"/>
      <c r="P28" s="30"/>
      <c r="Q28" s="31"/>
    </row>
    <row r="29" ht="15.75" customHeight="1">
      <c r="A29" t="s" s="25">
        <v>109</v>
      </c>
      <c r="B29" t="s" s="32">
        <v>67</v>
      </c>
      <c r="C29" t="s" s="25">
        <v>113</v>
      </c>
      <c r="D29" s="27">
        <v>0.95</v>
      </c>
      <c r="E29" s="28">
        <v>6</v>
      </c>
      <c r="F29" s="28">
        <v>6.1</v>
      </c>
      <c r="G29" s="27">
        <v>0.011</v>
      </c>
      <c r="H29" t="s" s="29">
        <v>64</v>
      </c>
      <c r="I29" s="30"/>
      <c r="J29" s="30"/>
      <c r="K29" s="33">
        <v>3</v>
      </c>
      <c r="L29" s="31"/>
      <c r="M29" s="30"/>
      <c r="N29" s="30"/>
      <c r="O29" s="30"/>
      <c r="P29" s="30"/>
      <c r="Q29" s="31"/>
    </row>
    <row r="30" ht="15.75" customHeight="1">
      <c r="A30" t="s" s="25">
        <v>109</v>
      </c>
      <c r="B30" t="s" s="32">
        <v>67</v>
      </c>
      <c r="C30" t="s" s="25">
        <v>114</v>
      </c>
      <c r="D30" s="27">
        <v>0.5</v>
      </c>
      <c r="E30" s="28">
        <v>5.84</v>
      </c>
      <c r="F30" s="28">
        <v>5.8</v>
      </c>
      <c r="G30" s="27">
        <v>0.002</v>
      </c>
      <c r="H30" t="s" s="29">
        <v>64</v>
      </c>
      <c r="I30" s="30"/>
      <c r="J30" s="30"/>
      <c r="K30" s="30"/>
      <c r="L30" s="31"/>
      <c r="M30" s="30"/>
      <c r="N30" s="30"/>
      <c r="O30" s="30"/>
      <c r="P30" s="30"/>
      <c r="Q30" s="31"/>
    </row>
    <row r="31" ht="15.75" customHeight="1">
      <c r="A31" t="s" s="25">
        <v>109</v>
      </c>
      <c r="B31" t="s" s="32">
        <v>67</v>
      </c>
      <c r="C31" t="s" s="25">
        <v>115</v>
      </c>
      <c r="D31" s="27">
        <v>0.5</v>
      </c>
      <c r="E31" s="28">
        <v>5.94</v>
      </c>
      <c r="F31" s="28">
        <v>5.86</v>
      </c>
      <c r="G31" s="27">
        <v>0.002</v>
      </c>
      <c r="H31" t="s" s="29">
        <v>64</v>
      </c>
      <c r="I31" s="30"/>
      <c r="J31" s="30"/>
      <c r="K31" s="30"/>
      <c r="L31" s="31"/>
      <c r="M31" s="30"/>
      <c r="N31" s="30"/>
      <c r="O31" s="30"/>
      <c r="P31" s="30"/>
      <c r="Q31" s="31"/>
    </row>
    <row r="32" ht="15.75" customHeight="1">
      <c r="A32" t="s" s="25">
        <v>109</v>
      </c>
      <c r="B32" t="s" s="32">
        <v>67</v>
      </c>
      <c r="C32" t="s" s="25">
        <v>116</v>
      </c>
      <c r="D32" s="27">
        <v>0.5</v>
      </c>
      <c r="E32" s="28">
        <v>5.86</v>
      </c>
      <c r="F32" s="28">
        <v>5.9</v>
      </c>
      <c r="G32" s="27">
        <v>0.004</v>
      </c>
      <c r="H32" t="s" s="29">
        <v>64</v>
      </c>
      <c r="I32" s="30"/>
      <c r="J32" s="30"/>
      <c r="K32" s="30"/>
      <c r="L32" t="s" s="34">
        <v>117</v>
      </c>
      <c r="M32" s="30"/>
      <c r="N32" s="30"/>
      <c r="O32" s="30"/>
      <c r="P32" s="30"/>
      <c r="Q32" s="31"/>
    </row>
    <row r="33" ht="15.75" customHeight="1">
      <c r="A33" t="s" s="25">
        <v>109</v>
      </c>
      <c r="B33" t="s" s="32">
        <v>67</v>
      </c>
      <c r="C33" t="s" s="25">
        <v>118</v>
      </c>
      <c r="D33" s="27">
        <v>0.25</v>
      </c>
      <c r="E33" s="28">
        <v>0</v>
      </c>
      <c r="F33" s="28">
        <v>0</v>
      </c>
      <c r="G33" s="27"/>
      <c r="H33" s="30"/>
      <c r="I33" s="30"/>
      <c r="J33" s="30"/>
      <c r="K33" s="30"/>
      <c r="L33" s="31"/>
      <c r="M33" s="30"/>
      <c r="N33" s="30"/>
      <c r="O33" s="30"/>
      <c r="P33" s="30"/>
      <c r="Q33" s="31"/>
    </row>
    <row r="34" ht="15.75" customHeight="1">
      <c r="A34" t="s" s="25">
        <v>109</v>
      </c>
      <c r="B34" t="s" s="32">
        <v>67</v>
      </c>
      <c r="C34" t="s" s="25">
        <v>119</v>
      </c>
      <c r="D34" s="27">
        <v>0.25</v>
      </c>
      <c r="E34" s="28">
        <v>6.09</v>
      </c>
      <c r="F34" s="28">
        <v>6.43</v>
      </c>
      <c r="G34" s="27">
        <v>0.002</v>
      </c>
      <c r="H34" s="30"/>
      <c r="I34" s="30"/>
      <c r="J34" s="30"/>
      <c r="K34" s="30"/>
      <c r="L34" t="s" s="34">
        <v>120</v>
      </c>
      <c r="M34" s="30"/>
      <c r="N34" s="30"/>
      <c r="O34" s="30"/>
      <c r="P34" s="30"/>
      <c r="Q34" s="31"/>
    </row>
    <row r="35" ht="15.75" customHeight="1">
      <c r="A35" t="s" s="25">
        <v>109</v>
      </c>
      <c r="B35" t="s" s="32">
        <v>67</v>
      </c>
      <c r="C35" t="s" s="25">
        <v>121</v>
      </c>
      <c r="D35" s="27">
        <v>0.01</v>
      </c>
      <c r="E35" s="28">
        <v>5.65</v>
      </c>
      <c r="F35" s="28">
        <v>5.65</v>
      </c>
      <c r="G35" s="27"/>
      <c r="H35" s="30"/>
      <c r="I35" s="30"/>
      <c r="J35" s="30"/>
      <c r="K35" s="30"/>
      <c r="L35" s="31"/>
      <c r="M35" s="30"/>
      <c r="N35" s="30"/>
      <c r="O35" s="30"/>
      <c r="P35" s="30"/>
      <c r="Q35" s="31"/>
    </row>
    <row r="36" ht="15.75" customHeight="1">
      <c r="A36" t="s" s="25">
        <v>109</v>
      </c>
      <c r="B36" t="s" s="32">
        <v>67</v>
      </c>
      <c r="C36" t="s" s="25">
        <v>122</v>
      </c>
      <c r="D36" s="27">
        <v>0.01</v>
      </c>
      <c r="E36" s="28">
        <v>6.05</v>
      </c>
      <c r="F36" s="28">
        <v>5.95</v>
      </c>
      <c r="G36" s="27">
        <v>0.002</v>
      </c>
      <c r="H36" s="30"/>
      <c r="I36" s="30"/>
      <c r="J36" s="30"/>
      <c r="K36" s="30"/>
      <c r="L36" s="31"/>
      <c r="M36" s="30"/>
      <c r="N36" s="30"/>
      <c r="O36" s="30"/>
      <c r="P36" s="30"/>
      <c r="Q36" s="31"/>
    </row>
    <row r="37" ht="15.75" customHeight="1">
      <c r="A37" t="s" s="25">
        <v>109</v>
      </c>
      <c r="B37" t="s" s="32">
        <v>67</v>
      </c>
      <c r="C37" t="s" s="25">
        <v>123</v>
      </c>
      <c r="D37" s="27">
        <v>0.01</v>
      </c>
      <c r="E37" s="28">
        <v>5.5</v>
      </c>
      <c r="F37" s="28">
        <v>5.33</v>
      </c>
      <c r="G37" s="27">
        <v>0.002</v>
      </c>
      <c r="H37" s="30"/>
      <c r="I37" s="30"/>
      <c r="J37" s="30"/>
      <c r="K37" s="30"/>
      <c r="L37" s="31"/>
      <c r="M37" s="30"/>
      <c r="N37" s="30"/>
      <c r="O37" s="30"/>
      <c r="P37" s="30"/>
      <c r="Q37" s="31"/>
    </row>
    <row r="38" ht="15.75" customHeight="1">
      <c r="A38" t="s" s="25">
        <v>109</v>
      </c>
      <c r="B38" t="s" s="35">
        <v>86</v>
      </c>
      <c r="C38" t="s" s="25">
        <v>124</v>
      </c>
      <c r="D38" s="27">
        <v>0.95</v>
      </c>
      <c r="E38" s="28">
        <v>6.06</v>
      </c>
      <c r="F38" s="28">
        <v>6.77</v>
      </c>
      <c r="G38" s="27">
        <v>0.122</v>
      </c>
      <c r="H38" t="s" s="29">
        <v>64</v>
      </c>
      <c r="I38" s="33">
        <v>1</v>
      </c>
      <c r="J38" s="33">
        <v>1</v>
      </c>
      <c r="K38" s="33">
        <v>1</v>
      </c>
      <c r="L38" s="31"/>
      <c r="M38" t="s" s="29">
        <v>64</v>
      </c>
      <c r="N38" s="30"/>
      <c r="O38" s="30"/>
      <c r="P38" s="30"/>
      <c r="Q38" t="s" s="34">
        <v>125</v>
      </c>
    </row>
    <row r="39" ht="15.75" customHeight="1">
      <c r="A39" t="s" s="25">
        <v>109</v>
      </c>
      <c r="B39" t="s" s="35">
        <v>86</v>
      </c>
      <c r="C39" t="s" s="25">
        <v>126</v>
      </c>
      <c r="D39" s="27">
        <v>0.75</v>
      </c>
      <c r="E39" s="28">
        <v>5.83</v>
      </c>
      <c r="F39" s="28">
        <v>6.18</v>
      </c>
      <c r="G39" s="27">
        <v>0.002</v>
      </c>
      <c r="H39" t="s" s="29">
        <v>64</v>
      </c>
      <c r="I39" s="30"/>
      <c r="J39" s="30"/>
      <c r="K39" s="30"/>
      <c r="L39" t="s" s="34">
        <v>127</v>
      </c>
      <c r="M39" s="30"/>
      <c r="N39" s="30"/>
      <c r="O39" s="30"/>
      <c r="P39" s="30"/>
      <c r="Q39" s="31"/>
    </row>
    <row r="40" ht="15.75" customHeight="1">
      <c r="A40" t="s" s="25">
        <v>109</v>
      </c>
      <c r="B40" t="s" s="35">
        <v>86</v>
      </c>
      <c r="C40" t="s" s="25">
        <v>128</v>
      </c>
      <c r="D40" s="27">
        <v>0.75</v>
      </c>
      <c r="E40" s="28">
        <v>6.2</v>
      </c>
      <c r="F40" s="28">
        <v>6.59</v>
      </c>
      <c r="G40" s="27">
        <v>0.04</v>
      </c>
      <c r="H40" t="s" s="29">
        <v>64</v>
      </c>
      <c r="I40" s="30"/>
      <c r="J40" s="30"/>
      <c r="K40" s="30"/>
      <c r="L40" s="31"/>
      <c r="M40" t="s" s="29">
        <v>64</v>
      </c>
      <c r="N40" s="30"/>
      <c r="O40" s="30"/>
      <c r="P40" s="30"/>
      <c r="Q40" t="s" s="34">
        <v>129</v>
      </c>
    </row>
    <row r="41" ht="15.75" customHeight="1">
      <c r="A41" t="s" s="25">
        <v>109</v>
      </c>
      <c r="B41" t="s" s="35">
        <v>86</v>
      </c>
      <c r="C41" t="s" s="25">
        <v>130</v>
      </c>
      <c r="D41" s="27">
        <v>0.5</v>
      </c>
      <c r="E41" s="28">
        <v>6.04</v>
      </c>
      <c r="F41" s="28">
        <v>6.56</v>
      </c>
      <c r="G41" s="27">
        <v>0.014</v>
      </c>
      <c r="H41" t="s" s="29">
        <v>64</v>
      </c>
      <c r="I41" s="33">
        <v>3</v>
      </c>
      <c r="J41" s="33">
        <v>2</v>
      </c>
      <c r="K41" s="33">
        <v>2</v>
      </c>
      <c r="L41" t="s" s="34">
        <v>131</v>
      </c>
      <c r="M41" s="30"/>
      <c r="N41" s="30"/>
      <c r="O41" t="s" s="29">
        <v>64</v>
      </c>
      <c r="P41" s="30"/>
      <c r="Q41" t="s" s="34">
        <v>132</v>
      </c>
    </row>
    <row r="42" ht="15.75" customHeight="1">
      <c r="A42" t="s" s="25">
        <v>109</v>
      </c>
      <c r="B42" t="s" s="35">
        <v>86</v>
      </c>
      <c r="C42" t="s" s="25">
        <v>133</v>
      </c>
      <c r="D42" s="27">
        <v>0.5</v>
      </c>
      <c r="E42" s="28">
        <v>5.98</v>
      </c>
      <c r="F42" s="28">
        <v>6.42</v>
      </c>
      <c r="G42" s="27">
        <v>0.002</v>
      </c>
      <c r="H42" s="30"/>
      <c r="I42" s="30"/>
      <c r="J42" s="30"/>
      <c r="K42" s="30"/>
      <c r="L42" s="31"/>
      <c r="M42" s="30"/>
      <c r="N42" s="30"/>
      <c r="O42" s="30"/>
      <c r="P42" s="30"/>
      <c r="Q42" s="31"/>
    </row>
    <row r="43" ht="15.75" customHeight="1">
      <c r="A43" t="s" s="25">
        <v>109</v>
      </c>
      <c r="B43" t="s" s="35">
        <v>86</v>
      </c>
      <c r="C43" t="s" s="25">
        <v>134</v>
      </c>
      <c r="D43" s="27">
        <v>0.5</v>
      </c>
      <c r="E43" s="28">
        <v>5.8</v>
      </c>
      <c r="F43" s="28">
        <v>5.78</v>
      </c>
      <c r="G43" s="27">
        <v>0.002</v>
      </c>
      <c r="H43" t="s" s="29">
        <v>64</v>
      </c>
      <c r="I43" s="30"/>
      <c r="J43" s="30"/>
      <c r="K43" s="30"/>
      <c r="L43" s="31"/>
      <c r="M43" s="30"/>
      <c r="N43" s="30"/>
      <c r="O43" s="30"/>
      <c r="P43" s="30"/>
      <c r="Q43" s="31"/>
    </row>
    <row r="44" ht="15.75" customHeight="1">
      <c r="A44" t="s" s="25">
        <v>109</v>
      </c>
      <c r="B44" t="s" s="35">
        <v>86</v>
      </c>
      <c r="C44" t="s" s="25">
        <v>135</v>
      </c>
      <c r="D44" s="27">
        <v>0.5</v>
      </c>
      <c r="E44" s="28">
        <v>5.93</v>
      </c>
      <c r="F44" s="28">
        <v>6.13</v>
      </c>
      <c r="G44" s="27">
        <v>0.002</v>
      </c>
      <c r="H44" s="30"/>
      <c r="I44" s="30"/>
      <c r="J44" s="30"/>
      <c r="K44" s="30"/>
      <c r="L44" t="s" s="34">
        <v>136</v>
      </c>
      <c r="M44" s="30"/>
      <c r="N44" s="30"/>
      <c r="O44" s="30"/>
      <c r="P44" s="30"/>
      <c r="Q44" s="31"/>
    </row>
    <row r="45" ht="15.75" customHeight="1">
      <c r="A45" t="s" s="25">
        <v>109</v>
      </c>
      <c r="B45" t="s" s="35">
        <v>86</v>
      </c>
      <c r="C45" t="s" s="25">
        <v>137</v>
      </c>
      <c r="D45" s="27">
        <v>0.5</v>
      </c>
      <c r="E45" s="28">
        <v>5.91</v>
      </c>
      <c r="F45" s="28">
        <v>6.61</v>
      </c>
      <c r="G45" s="27">
        <v>0.002</v>
      </c>
      <c r="H45" s="30"/>
      <c r="I45" s="30"/>
      <c r="J45" s="30"/>
      <c r="K45" s="30"/>
      <c r="L45" t="s" s="34">
        <v>138</v>
      </c>
      <c r="M45" s="30"/>
      <c r="N45" s="30"/>
      <c r="O45" s="30"/>
      <c r="P45" s="30"/>
      <c r="Q45" s="31"/>
    </row>
    <row r="46" ht="15.75" customHeight="1">
      <c r="A46" t="s" s="25">
        <v>109</v>
      </c>
      <c r="B46" t="s" s="35">
        <v>86</v>
      </c>
      <c r="C46" t="s" s="25">
        <v>139</v>
      </c>
      <c r="D46" s="27">
        <v>0.25</v>
      </c>
      <c r="E46" s="28">
        <v>0</v>
      </c>
      <c r="F46" s="28">
        <v>0</v>
      </c>
      <c r="G46" s="27">
        <v>0.002</v>
      </c>
      <c r="H46" s="30"/>
      <c r="I46" s="30"/>
      <c r="J46" s="30"/>
      <c r="K46" s="30"/>
      <c r="L46" s="31"/>
      <c r="M46" s="30"/>
      <c r="N46" s="30"/>
      <c r="O46" s="30"/>
      <c r="P46" s="30"/>
      <c r="Q46" s="31"/>
    </row>
    <row r="47" ht="15.75" customHeight="1">
      <c r="A47" t="s" s="25">
        <v>109</v>
      </c>
      <c r="B47" t="s" s="35">
        <v>86</v>
      </c>
      <c r="C47" t="s" s="25">
        <v>140</v>
      </c>
      <c r="D47" s="27">
        <v>0.01</v>
      </c>
      <c r="E47" s="28">
        <v>0</v>
      </c>
      <c r="F47" s="28">
        <v>0</v>
      </c>
      <c r="G47" s="27"/>
      <c r="H47" s="30"/>
      <c r="I47" s="30"/>
      <c r="J47" s="30"/>
      <c r="K47" s="30"/>
      <c r="L47" s="31"/>
      <c r="M47" s="30"/>
      <c r="N47" s="30"/>
      <c r="O47" s="30"/>
      <c r="P47" s="30"/>
      <c r="Q47" s="31"/>
    </row>
    <row r="48" ht="15.75" customHeight="1">
      <c r="A48" t="s" s="25">
        <v>109</v>
      </c>
      <c r="B48" t="s" s="36">
        <v>100</v>
      </c>
      <c r="C48" t="s" s="25">
        <v>141</v>
      </c>
      <c r="D48" s="27">
        <v>0.5</v>
      </c>
      <c r="E48" s="28">
        <v>6</v>
      </c>
      <c r="F48" s="28">
        <v>6.77</v>
      </c>
      <c r="G48" s="27">
        <v>0.09</v>
      </c>
      <c r="H48" t="s" s="29">
        <v>64</v>
      </c>
      <c r="I48" s="33">
        <v>2</v>
      </c>
      <c r="J48" s="30"/>
      <c r="K48" s="30"/>
      <c r="L48" t="s" s="34">
        <v>142</v>
      </c>
      <c r="M48" s="30"/>
      <c r="N48" s="30"/>
      <c r="O48" s="30"/>
      <c r="P48" s="30"/>
      <c r="Q48" s="31"/>
    </row>
    <row r="49" ht="15.75" customHeight="1">
      <c r="A49" t="s" s="25">
        <v>109</v>
      </c>
      <c r="B49" t="s" s="36">
        <v>100</v>
      </c>
      <c r="C49" t="s" s="25">
        <v>143</v>
      </c>
      <c r="D49" s="27">
        <v>0.5</v>
      </c>
      <c r="E49" s="28">
        <v>5.78</v>
      </c>
      <c r="F49" s="28">
        <v>6.24</v>
      </c>
      <c r="G49" s="27">
        <v>0.004</v>
      </c>
      <c r="H49" s="30"/>
      <c r="I49" s="30"/>
      <c r="J49" s="30"/>
      <c r="K49" s="30"/>
      <c r="L49" t="s" s="34">
        <v>144</v>
      </c>
      <c r="M49" s="30"/>
      <c r="N49" s="30"/>
      <c r="O49" s="30"/>
      <c r="P49" s="30"/>
      <c r="Q49" s="31"/>
    </row>
    <row r="50" ht="15.75" customHeight="1">
      <c r="A50" t="s" s="25">
        <v>145</v>
      </c>
      <c r="B50" t="s" s="26">
        <v>62</v>
      </c>
      <c r="C50" t="s" s="25">
        <v>146</v>
      </c>
      <c r="D50" s="27">
        <v>0.95</v>
      </c>
      <c r="E50" s="28">
        <v>6.29</v>
      </c>
      <c r="F50" s="28">
        <v>4.87</v>
      </c>
      <c r="G50" s="27">
        <v>0.01</v>
      </c>
      <c r="H50" t="s" s="29">
        <v>64</v>
      </c>
      <c r="I50" s="30"/>
      <c r="J50" s="30"/>
      <c r="K50" s="30"/>
      <c r="L50" s="31"/>
      <c r="M50" s="30"/>
      <c r="N50" s="30"/>
      <c r="O50" s="30"/>
      <c r="P50" s="30"/>
      <c r="Q50" s="31"/>
    </row>
    <row r="51" ht="15.75" customHeight="1">
      <c r="A51" t="s" s="25">
        <v>145</v>
      </c>
      <c r="B51" t="s" s="26">
        <v>62</v>
      </c>
      <c r="C51" t="s" s="25">
        <v>147</v>
      </c>
      <c r="D51" s="27">
        <v>0.01</v>
      </c>
      <c r="E51" s="28">
        <v>0</v>
      </c>
      <c r="F51" s="28">
        <v>0</v>
      </c>
      <c r="G51" s="27">
        <v>0.001</v>
      </c>
      <c r="H51" s="30"/>
      <c r="I51" s="30"/>
      <c r="J51" s="30"/>
      <c r="K51" s="30"/>
      <c r="L51" s="31"/>
      <c r="M51" s="30"/>
      <c r="N51" s="30"/>
      <c r="O51" s="30"/>
      <c r="P51" s="30"/>
      <c r="Q51" s="31"/>
    </row>
    <row r="52" ht="15.75" customHeight="1">
      <c r="A52" t="s" s="25">
        <v>145</v>
      </c>
      <c r="B52" t="s" s="26">
        <v>62</v>
      </c>
      <c r="C52" t="s" s="25">
        <v>148</v>
      </c>
      <c r="D52" s="27">
        <v>0.01</v>
      </c>
      <c r="E52" s="28">
        <v>0</v>
      </c>
      <c r="F52" s="28">
        <v>0</v>
      </c>
      <c r="G52" s="27">
        <v>0.002</v>
      </c>
      <c r="H52" s="30"/>
      <c r="I52" s="30"/>
      <c r="J52" s="30"/>
      <c r="K52" s="30"/>
      <c r="L52" s="31"/>
      <c r="M52" s="30"/>
      <c r="N52" s="30"/>
      <c r="O52" s="30"/>
      <c r="P52" s="30"/>
      <c r="Q52" s="31"/>
    </row>
    <row r="53" ht="15.75" customHeight="1">
      <c r="A53" t="s" s="25">
        <v>145</v>
      </c>
      <c r="B53" t="s" s="32">
        <v>67</v>
      </c>
      <c r="C53" t="s" s="25">
        <v>149</v>
      </c>
      <c r="D53" s="27">
        <v>0.95</v>
      </c>
      <c r="E53" s="28">
        <v>6</v>
      </c>
      <c r="F53" s="28">
        <v>6.17</v>
      </c>
      <c r="G53" s="27">
        <v>0.004</v>
      </c>
      <c r="H53" t="s" s="29">
        <v>64</v>
      </c>
      <c r="I53" s="33">
        <v>2</v>
      </c>
      <c r="J53" s="30"/>
      <c r="K53" s="30"/>
      <c r="L53" t="s" s="34">
        <v>150</v>
      </c>
      <c r="M53" s="30"/>
      <c r="N53" s="30"/>
      <c r="O53" s="30"/>
      <c r="P53" s="30"/>
      <c r="Q53" s="31"/>
    </row>
    <row r="54" ht="15.75" customHeight="1">
      <c r="A54" t="s" s="25">
        <v>145</v>
      </c>
      <c r="B54" t="s" s="32">
        <v>67</v>
      </c>
      <c r="C54" t="s" s="25">
        <v>151</v>
      </c>
      <c r="D54" s="27">
        <v>0.95</v>
      </c>
      <c r="E54" s="28">
        <v>5.88</v>
      </c>
      <c r="F54" s="28">
        <v>5.82</v>
      </c>
      <c r="G54" s="27">
        <v>0.002</v>
      </c>
      <c r="H54" t="s" s="29">
        <v>64</v>
      </c>
      <c r="I54" s="30"/>
      <c r="J54" s="30"/>
      <c r="K54" s="33">
        <v>2</v>
      </c>
      <c r="L54" s="31"/>
      <c r="M54" t="s" s="29">
        <v>64</v>
      </c>
      <c r="N54" s="30"/>
      <c r="O54" s="30"/>
      <c r="P54" s="30"/>
      <c r="Q54" t="s" s="34">
        <v>152</v>
      </c>
    </row>
    <row r="55" ht="15.75" customHeight="1">
      <c r="A55" t="s" s="25">
        <v>145</v>
      </c>
      <c r="B55" t="s" s="32">
        <v>67</v>
      </c>
      <c r="C55" t="s" s="25">
        <v>153</v>
      </c>
      <c r="D55" s="27">
        <v>0.75</v>
      </c>
      <c r="E55" s="28">
        <v>5.63</v>
      </c>
      <c r="F55" s="28">
        <v>5.72</v>
      </c>
      <c r="G55" s="27">
        <v>0.002</v>
      </c>
      <c r="H55" t="s" s="29">
        <v>64</v>
      </c>
      <c r="I55" s="30"/>
      <c r="J55" s="30"/>
      <c r="K55" s="30"/>
      <c r="L55" s="31"/>
      <c r="M55" s="30"/>
      <c r="N55" s="30"/>
      <c r="O55" s="30"/>
      <c r="P55" s="30"/>
      <c r="Q55" s="31"/>
    </row>
    <row r="56" ht="15.75" customHeight="1">
      <c r="A56" t="s" s="25">
        <v>145</v>
      </c>
      <c r="B56" t="s" s="32">
        <v>67</v>
      </c>
      <c r="C56" t="s" s="25">
        <v>154</v>
      </c>
      <c r="D56" s="27">
        <v>0.75</v>
      </c>
      <c r="E56" s="28">
        <v>5.77</v>
      </c>
      <c r="F56" s="28">
        <v>5.68</v>
      </c>
      <c r="G56" s="27">
        <v>0.002</v>
      </c>
      <c r="H56" t="s" s="29">
        <v>64</v>
      </c>
      <c r="I56" s="30"/>
      <c r="J56" s="30"/>
      <c r="K56" s="30"/>
      <c r="L56" t="s" s="34">
        <v>155</v>
      </c>
      <c r="M56" s="30"/>
      <c r="N56" s="30"/>
      <c r="O56" s="30"/>
      <c r="P56" s="30"/>
      <c r="Q56" s="31"/>
    </row>
    <row r="57" ht="15.75" customHeight="1">
      <c r="A57" t="s" s="25">
        <v>145</v>
      </c>
      <c r="B57" t="s" s="32">
        <v>67</v>
      </c>
      <c r="C57" t="s" s="25">
        <v>156</v>
      </c>
      <c r="D57" s="27">
        <v>0.5</v>
      </c>
      <c r="E57" s="28">
        <v>5.9</v>
      </c>
      <c r="F57" s="28">
        <v>5.98</v>
      </c>
      <c r="G57" s="27">
        <v>0.002</v>
      </c>
      <c r="H57" s="30"/>
      <c r="I57" s="30"/>
      <c r="J57" s="30"/>
      <c r="K57" s="30"/>
      <c r="L57" t="s" s="34">
        <v>157</v>
      </c>
      <c r="M57" s="30"/>
      <c r="N57" t="s" s="29">
        <v>64</v>
      </c>
      <c r="O57" s="30"/>
      <c r="P57" s="30"/>
      <c r="Q57" t="s" s="34">
        <v>158</v>
      </c>
    </row>
    <row r="58" ht="15.75" customHeight="1">
      <c r="A58" t="s" s="25">
        <v>145</v>
      </c>
      <c r="B58" t="s" s="32">
        <v>67</v>
      </c>
      <c r="C58" t="s" s="25">
        <v>159</v>
      </c>
      <c r="D58" s="27">
        <v>0.25</v>
      </c>
      <c r="E58" s="28">
        <v>5.82</v>
      </c>
      <c r="F58" s="28">
        <v>6.08</v>
      </c>
      <c r="G58" s="27">
        <v>0.002</v>
      </c>
      <c r="H58" s="30"/>
      <c r="I58" s="30"/>
      <c r="J58" s="30"/>
      <c r="K58" s="30"/>
      <c r="L58" s="31"/>
      <c r="M58" s="30"/>
      <c r="N58" s="30"/>
      <c r="O58" s="30"/>
      <c r="P58" s="30"/>
      <c r="Q58" s="31"/>
    </row>
    <row r="59" ht="15.75" customHeight="1">
      <c r="A59" t="s" s="25">
        <v>145</v>
      </c>
      <c r="B59" t="s" s="32">
        <v>67</v>
      </c>
      <c r="C59" t="s" s="25">
        <v>160</v>
      </c>
      <c r="D59" s="27">
        <v>0.25</v>
      </c>
      <c r="E59" s="28">
        <v>0</v>
      </c>
      <c r="F59" s="28">
        <v>0</v>
      </c>
      <c r="G59" s="27">
        <v>0.002</v>
      </c>
      <c r="H59" s="30"/>
      <c r="I59" s="30"/>
      <c r="J59" s="30"/>
      <c r="K59" s="30"/>
      <c r="L59" s="31"/>
      <c r="M59" s="30"/>
      <c r="N59" s="30"/>
      <c r="O59" s="30"/>
      <c r="P59" s="30"/>
      <c r="Q59" s="31"/>
    </row>
    <row r="60" ht="15.75" customHeight="1">
      <c r="A60" t="s" s="25">
        <v>145</v>
      </c>
      <c r="B60" t="s" s="32">
        <v>67</v>
      </c>
      <c r="C60" t="s" s="25">
        <v>161</v>
      </c>
      <c r="D60" s="27">
        <v>0.01</v>
      </c>
      <c r="E60" s="28">
        <v>0</v>
      </c>
      <c r="F60" s="28">
        <v>0</v>
      </c>
      <c r="G60" s="27">
        <v>0.002</v>
      </c>
      <c r="H60" s="30"/>
      <c r="I60" s="30"/>
      <c r="J60" s="30"/>
      <c r="K60" s="30"/>
      <c r="L60" s="31"/>
      <c r="M60" s="30"/>
      <c r="N60" s="30"/>
      <c r="O60" s="30"/>
      <c r="P60" s="30"/>
      <c r="Q60" s="31"/>
    </row>
    <row r="61" ht="15.75" customHeight="1">
      <c r="A61" t="s" s="25">
        <v>145</v>
      </c>
      <c r="B61" t="s" s="35">
        <v>86</v>
      </c>
      <c r="C61" t="s" s="25">
        <v>162</v>
      </c>
      <c r="D61" s="27">
        <v>0.95</v>
      </c>
      <c r="E61" s="28">
        <v>5.83</v>
      </c>
      <c r="F61" s="28">
        <v>5.88</v>
      </c>
      <c r="G61" s="27">
        <v>0.002</v>
      </c>
      <c r="H61" t="s" s="29">
        <v>64</v>
      </c>
      <c r="I61" s="30"/>
      <c r="J61" s="30"/>
      <c r="K61" s="30"/>
      <c r="L61" s="31"/>
      <c r="M61" s="30"/>
      <c r="N61" s="30"/>
      <c r="O61" s="30"/>
      <c r="P61" s="30"/>
      <c r="Q61" s="31"/>
    </row>
    <row r="62" ht="15.75" customHeight="1">
      <c r="A62" t="s" s="25">
        <v>145</v>
      </c>
      <c r="B62" t="s" s="35">
        <v>86</v>
      </c>
      <c r="C62" t="s" s="25">
        <v>163</v>
      </c>
      <c r="D62" s="27">
        <v>0.95</v>
      </c>
      <c r="E62" s="28">
        <v>5.88</v>
      </c>
      <c r="F62" s="28">
        <v>5.8</v>
      </c>
      <c r="G62" s="27">
        <v>0.006</v>
      </c>
      <c r="H62" t="s" s="29">
        <v>64</v>
      </c>
      <c r="I62" s="33">
        <v>1</v>
      </c>
      <c r="J62" s="33">
        <v>1</v>
      </c>
      <c r="K62" s="33">
        <v>1</v>
      </c>
      <c r="L62" s="31"/>
      <c r="M62" t="s" s="29">
        <v>64</v>
      </c>
      <c r="N62" s="30"/>
      <c r="O62" s="30"/>
      <c r="P62" s="30"/>
      <c r="Q62" t="s" s="34">
        <v>164</v>
      </c>
    </row>
    <row r="63" ht="15.75" customHeight="1">
      <c r="A63" t="s" s="25">
        <v>145</v>
      </c>
      <c r="B63" t="s" s="35">
        <v>86</v>
      </c>
      <c r="C63" t="s" s="25">
        <v>165</v>
      </c>
      <c r="D63" s="27">
        <v>0.75</v>
      </c>
      <c r="E63" s="28">
        <v>0</v>
      </c>
      <c r="F63" s="28">
        <v>0</v>
      </c>
      <c r="G63" s="27">
        <v>0.002</v>
      </c>
      <c r="H63" t="s" s="29">
        <v>64</v>
      </c>
      <c r="I63" s="30"/>
      <c r="J63" s="30"/>
      <c r="K63" s="30"/>
      <c r="L63" s="31"/>
      <c r="M63" s="30"/>
      <c r="N63" s="30"/>
      <c r="O63" t="s" s="29">
        <v>64</v>
      </c>
      <c r="P63" s="30"/>
      <c r="Q63" t="s" s="34">
        <v>166</v>
      </c>
    </row>
    <row r="64" ht="15.75" customHeight="1">
      <c r="A64" t="s" s="25">
        <v>145</v>
      </c>
      <c r="B64" t="s" s="35">
        <v>86</v>
      </c>
      <c r="C64" t="s" s="25">
        <v>167</v>
      </c>
      <c r="D64" s="27">
        <v>0.75</v>
      </c>
      <c r="E64" s="28">
        <v>0</v>
      </c>
      <c r="F64" s="28">
        <v>0</v>
      </c>
      <c r="G64" s="27">
        <v>0.002</v>
      </c>
      <c r="H64" t="s" s="29">
        <v>64</v>
      </c>
      <c r="I64" s="30"/>
      <c r="J64" s="30"/>
      <c r="K64" s="30"/>
      <c r="L64" s="31"/>
      <c r="M64" s="30"/>
      <c r="N64" s="30"/>
      <c r="O64" s="30"/>
      <c r="P64" s="30"/>
      <c r="Q64" s="31"/>
    </row>
    <row r="65" ht="15.75" customHeight="1">
      <c r="A65" t="s" s="25">
        <v>145</v>
      </c>
      <c r="B65" t="s" s="35">
        <v>86</v>
      </c>
      <c r="C65" t="s" s="25">
        <v>168</v>
      </c>
      <c r="D65" s="27">
        <v>0.5</v>
      </c>
      <c r="E65" s="28">
        <v>5.98</v>
      </c>
      <c r="F65" s="28">
        <v>5.96</v>
      </c>
      <c r="G65" s="27">
        <v>0.002</v>
      </c>
      <c r="H65" s="30"/>
      <c r="I65" s="33">
        <v>3</v>
      </c>
      <c r="J65" s="30"/>
      <c r="K65" s="30"/>
      <c r="L65" t="s" s="34">
        <v>169</v>
      </c>
      <c r="M65" s="30"/>
      <c r="N65" s="30"/>
      <c r="O65" s="30"/>
      <c r="P65" s="30"/>
      <c r="Q65" s="31"/>
    </row>
    <row r="66" ht="15.75" customHeight="1">
      <c r="A66" t="s" s="25">
        <v>145</v>
      </c>
      <c r="B66" t="s" s="35">
        <v>86</v>
      </c>
      <c r="C66" t="s" s="25">
        <v>170</v>
      </c>
      <c r="D66" s="27">
        <v>0.5</v>
      </c>
      <c r="E66" s="28">
        <v>6.05</v>
      </c>
      <c r="F66" s="28">
        <v>6.55</v>
      </c>
      <c r="G66" s="27">
        <v>0.002</v>
      </c>
      <c r="H66" s="30"/>
      <c r="I66" s="30"/>
      <c r="J66" s="30"/>
      <c r="K66" s="30"/>
      <c r="L66" s="31"/>
      <c r="M66" s="30"/>
      <c r="N66" s="30"/>
      <c r="O66" s="30"/>
      <c r="P66" s="30"/>
      <c r="Q66" s="31"/>
    </row>
    <row r="67" ht="15.75" customHeight="1">
      <c r="A67" t="s" s="25">
        <v>145</v>
      </c>
      <c r="B67" t="s" s="35">
        <v>86</v>
      </c>
      <c r="C67" t="s" s="25">
        <v>171</v>
      </c>
      <c r="D67" s="27">
        <v>0.25</v>
      </c>
      <c r="E67" s="28">
        <v>5.75</v>
      </c>
      <c r="F67" s="28">
        <v>5.75</v>
      </c>
      <c r="G67" s="27">
        <v>0.002</v>
      </c>
      <c r="H67" s="30"/>
      <c r="I67" s="30"/>
      <c r="J67" s="30"/>
      <c r="K67" s="30"/>
      <c r="L67" s="31"/>
      <c r="M67" s="30"/>
      <c r="N67" s="30"/>
      <c r="O67" s="30"/>
      <c r="P67" s="30"/>
      <c r="Q67" s="31"/>
    </row>
    <row r="68" ht="15.75" customHeight="1">
      <c r="A68" t="s" s="25">
        <v>145</v>
      </c>
      <c r="B68" t="s" s="35">
        <v>86</v>
      </c>
      <c r="C68" t="s" s="25">
        <v>172</v>
      </c>
      <c r="D68" s="27">
        <v>0.25</v>
      </c>
      <c r="E68" s="28">
        <v>5.88</v>
      </c>
      <c r="F68" s="28">
        <v>5.88</v>
      </c>
      <c r="G68" s="27">
        <v>0.002</v>
      </c>
      <c r="H68" s="30"/>
      <c r="I68" s="30"/>
      <c r="J68" s="30"/>
      <c r="K68" s="30"/>
      <c r="L68" s="31"/>
      <c r="M68" s="30"/>
      <c r="N68" s="30"/>
      <c r="O68" s="30"/>
      <c r="P68" s="30"/>
      <c r="Q68" s="31"/>
    </row>
    <row r="69" ht="15.75" customHeight="1">
      <c r="A69" t="s" s="25">
        <v>145</v>
      </c>
      <c r="B69" t="s" s="36">
        <v>100</v>
      </c>
      <c r="C69" t="s" s="25">
        <v>173</v>
      </c>
      <c r="D69" s="27">
        <v>0.75</v>
      </c>
      <c r="E69" s="28">
        <v>0</v>
      </c>
      <c r="F69" s="28">
        <v>0</v>
      </c>
      <c r="G69" s="27">
        <v>0.003</v>
      </c>
      <c r="H69" t="s" s="29">
        <v>64</v>
      </c>
      <c r="I69" s="30"/>
      <c r="J69" s="30"/>
      <c r="K69" s="30"/>
      <c r="L69" t="s" s="34">
        <v>174</v>
      </c>
      <c r="M69" s="30"/>
      <c r="N69" s="30"/>
      <c r="O69" s="30"/>
      <c r="P69" s="30"/>
      <c r="Q69" s="31"/>
    </row>
    <row r="70" ht="15.75" customHeight="1">
      <c r="A70" t="s" s="25">
        <v>145</v>
      </c>
      <c r="B70" t="s" s="36">
        <v>100</v>
      </c>
      <c r="C70" t="s" s="25">
        <v>175</v>
      </c>
      <c r="D70" s="27">
        <v>0.75</v>
      </c>
      <c r="E70" s="28">
        <v>5.94</v>
      </c>
      <c r="F70" s="28">
        <v>6.3</v>
      </c>
      <c r="G70" s="27">
        <v>0.004</v>
      </c>
      <c r="H70" t="s" s="29">
        <v>64</v>
      </c>
      <c r="I70" s="30"/>
      <c r="J70" s="33">
        <v>2</v>
      </c>
      <c r="K70" s="33">
        <v>3</v>
      </c>
      <c r="L70" s="31"/>
      <c r="M70" s="30"/>
      <c r="N70" s="30"/>
      <c r="O70" s="30"/>
      <c r="P70" s="30"/>
      <c r="Q70" s="31"/>
    </row>
    <row r="71" ht="15.75" customHeight="1">
      <c r="A71" t="s" s="25">
        <v>145</v>
      </c>
      <c r="B71" t="s" s="36">
        <v>100</v>
      </c>
      <c r="C71" t="s" s="25">
        <v>176</v>
      </c>
      <c r="D71" s="27">
        <v>0.5</v>
      </c>
      <c r="E71" s="28">
        <v>5.92</v>
      </c>
      <c r="F71" s="28">
        <v>6.46</v>
      </c>
      <c r="G71" s="27">
        <v>0.002</v>
      </c>
      <c r="H71" s="30"/>
      <c r="I71" s="30"/>
      <c r="J71" s="30"/>
      <c r="K71" s="30"/>
      <c r="L71" t="s" s="34">
        <v>177</v>
      </c>
      <c r="M71" s="30"/>
      <c r="N71" s="30"/>
      <c r="O71" s="30"/>
      <c r="P71" s="30"/>
      <c r="Q71" s="31"/>
    </row>
    <row r="72" ht="15.75" customHeight="1">
      <c r="A72" t="s" s="25">
        <v>145</v>
      </c>
      <c r="B72" t="s" s="36">
        <v>100</v>
      </c>
      <c r="C72" t="s" s="25">
        <v>178</v>
      </c>
      <c r="D72" s="27">
        <v>0.5</v>
      </c>
      <c r="E72" s="28">
        <v>5.94</v>
      </c>
      <c r="F72" s="28">
        <v>6.63</v>
      </c>
      <c r="G72" s="27">
        <v>0.002</v>
      </c>
      <c r="H72" s="30"/>
      <c r="I72" s="30"/>
      <c r="J72" s="30"/>
      <c r="K72" s="30"/>
      <c r="L72" t="s" s="34">
        <v>179</v>
      </c>
      <c r="M72" s="30"/>
      <c r="N72" s="30"/>
      <c r="O72" s="30"/>
      <c r="P72" t="s" s="29">
        <v>64</v>
      </c>
      <c r="Q72" t="s" s="34">
        <v>180</v>
      </c>
    </row>
    <row r="73" ht="15.75" customHeight="1">
      <c r="A73" t="s" s="25">
        <v>145</v>
      </c>
      <c r="B73" t="s" s="36">
        <v>100</v>
      </c>
      <c r="C73" t="s" s="25">
        <v>181</v>
      </c>
      <c r="D73" s="27">
        <v>0.25</v>
      </c>
      <c r="E73" s="28">
        <v>0</v>
      </c>
      <c r="F73" s="28">
        <v>0</v>
      </c>
      <c r="G73" s="27">
        <v>0.002</v>
      </c>
      <c r="H73" s="30"/>
      <c r="I73" s="30"/>
      <c r="J73" s="30"/>
      <c r="K73" s="30"/>
      <c r="L73" s="31"/>
      <c r="M73" s="30"/>
      <c r="N73" s="30"/>
      <c r="O73" s="30"/>
      <c r="P73" s="30"/>
      <c r="Q73" s="31"/>
    </row>
    <row r="74" ht="15.75" customHeight="1">
      <c r="A74" t="s" s="25">
        <v>145</v>
      </c>
      <c r="B74" t="s" s="36">
        <v>100</v>
      </c>
      <c r="C74" t="s" s="25">
        <v>182</v>
      </c>
      <c r="D74" s="27">
        <v>0.25</v>
      </c>
      <c r="E74" s="28">
        <v>6.13</v>
      </c>
      <c r="F74" s="28">
        <v>6.88</v>
      </c>
      <c r="G74" s="27">
        <v>0.002</v>
      </c>
      <c r="H74" s="30"/>
      <c r="I74" s="30"/>
      <c r="J74" s="30"/>
      <c r="K74" s="30"/>
      <c r="L74" s="31"/>
      <c r="M74" s="30"/>
      <c r="N74" s="30"/>
      <c r="O74" s="30"/>
      <c r="P74" s="30"/>
      <c r="Q74" s="31"/>
    </row>
    <row r="75" ht="15.75" customHeight="1">
      <c r="A75" t="s" s="25">
        <v>145</v>
      </c>
      <c r="B75" t="s" s="36">
        <v>100</v>
      </c>
      <c r="C75" t="s" s="25">
        <v>183</v>
      </c>
      <c r="D75" s="27">
        <v>0.01</v>
      </c>
      <c r="E75" s="28">
        <v>6</v>
      </c>
      <c r="F75" s="28">
        <v>6</v>
      </c>
      <c r="G75" s="27">
        <v>0.002</v>
      </c>
      <c r="H75" s="30"/>
      <c r="I75" s="30"/>
      <c r="J75" s="30"/>
      <c r="K75" s="30"/>
      <c r="L75" s="31"/>
      <c r="M75" s="30"/>
      <c r="N75" s="30"/>
      <c r="O75" s="30"/>
      <c r="P75" s="30"/>
      <c r="Q75" s="31"/>
    </row>
    <row r="76" ht="15.75" customHeight="1">
      <c r="A76" t="s" s="25">
        <v>145</v>
      </c>
      <c r="B76" t="s" s="36">
        <v>100</v>
      </c>
      <c r="C76" t="s" s="25">
        <v>184</v>
      </c>
      <c r="D76" s="27">
        <v>0.01</v>
      </c>
      <c r="E76" s="28">
        <v>6.26</v>
      </c>
      <c r="F76" s="28">
        <v>6.87</v>
      </c>
      <c r="G76" s="27">
        <v>0.002</v>
      </c>
      <c r="H76" s="30"/>
      <c r="I76" s="30"/>
      <c r="J76" s="30"/>
      <c r="K76" s="30"/>
      <c r="L76" s="31"/>
      <c r="M76" s="30"/>
      <c r="N76" s="30"/>
      <c r="O76" s="30"/>
      <c r="P76" s="30"/>
      <c r="Q76" s="31"/>
    </row>
    <row r="77" ht="15.75" customHeight="1">
      <c r="A77" t="s" s="25">
        <v>185</v>
      </c>
      <c r="B77" t="s" s="26">
        <v>62</v>
      </c>
      <c r="C77" t="s" s="25">
        <v>186</v>
      </c>
      <c r="D77" s="27">
        <v>0.95</v>
      </c>
      <c r="E77" s="28">
        <v>6.07</v>
      </c>
      <c r="F77" s="28">
        <v>5.37</v>
      </c>
      <c r="G77" s="27">
        <v>0.063</v>
      </c>
      <c r="H77" t="s" s="29">
        <v>64</v>
      </c>
      <c r="I77" s="30"/>
      <c r="J77" s="30"/>
      <c r="K77" s="30"/>
      <c r="L77" s="31"/>
      <c r="M77" s="30"/>
      <c r="N77" s="30"/>
      <c r="O77" s="30"/>
      <c r="P77" s="30"/>
      <c r="Q77" s="31"/>
    </row>
    <row r="78" ht="15.75" customHeight="1">
      <c r="A78" t="s" s="25">
        <v>185</v>
      </c>
      <c r="B78" t="s" s="26">
        <v>62</v>
      </c>
      <c r="C78" t="s" s="25">
        <v>187</v>
      </c>
      <c r="D78" s="27">
        <v>0.01</v>
      </c>
      <c r="E78" s="28">
        <v>0</v>
      </c>
      <c r="F78" s="28">
        <v>0</v>
      </c>
      <c r="G78" s="27">
        <v>0.002</v>
      </c>
      <c r="H78" s="30"/>
      <c r="I78" s="30"/>
      <c r="J78" s="30"/>
      <c r="K78" s="30"/>
      <c r="L78" s="31"/>
      <c r="M78" s="30"/>
      <c r="N78" s="30"/>
      <c r="O78" s="30"/>
      <c r="P78" s="30"/>
      <c r="Q78" s="31"/>
    </row>
    <row r="79" ht="15.75" customHeight="1">
      <c r="A79" t="s" s="25">
        <v>185</v>
      </c>
      <c r="B79" t="s" s="26">
        <v>62</v>
      </c>
      <c r="C79" t="s" s="25">
        <v>188</v>
      </c>
      <c r="D79" s="27">
        <v>0.01</v>
      </c>
      <c r="E79" s="28">
        <v>0</v>
      </c>
      <c r="F79" s="28">
        <v>0</v>
      </c>
      <c r="G79" s="27">
        <v>0.002</v>
      </c>
      <c r="H79" s="30"/>
      <c r="I79" s="30"/>
      <c r="J79" s="30"/>
      <c r="K79" s="30"/>
      <c r="L79" s="31"/>
      <c r="M79" s="30"/>
      <c r="N79" s="30"/>
      <c r="O79" s="30"/>
      <c r="P79" s="30"/>
      <c r="Q79" s="31"/>
    </row>
    <row r="80" ht="15.75" customHeight="1">
      <c r="A80" t="s" s="25">
        <v>185</v>
      </c>
      <c r="B80" t="s" s="32">
        <v>67</v>
      </c>
      <c r="C80" t="s" s="25">
        <v>189</v>
      </c>
      <c r="D80" s="27">
        <v>0.75</v>
      </c>
      <c r="E80" s="28">
        <v>0</v>
      </c>
      <c r="F80" s="28">
        <v>0</v>
      </c>
      <c r="G80" s="27">
        <v>0.02</v>
      </c>
      <c r="H80" t="s" s="29">
        <v>64</v>
      </c>
      <c r="I80" s="30"/>
      <c r="J80" s="30"/>
      <c r="K80" s="30"/>
      <c r="L80" s="31"/>
      <c r="M80" s="30"/>
      <c r="N80" s="30"/>
      <c r="O80" s="30"/>
      <c r="P80" s="30"/>
      <c r="Q80" s="31"/>
    </row>
    <row r="81" ht="15.75" customHeight="1">
      <c r="A81" t="s" s="25">
        <v>185</v>
      </c>
      <c r="B81" t="s" s="32">
        <v>67</v>
      </c>
      <c r="C81" t="s" s="25">
        <v>190</v>
      </c>
      <c r="D81" s="27">
        <v>0.75</v>
      </c>
      <c r="E81" s="28">
        <v>0</v>
      </c>
      <c r="F81" s="28">
        <v>0</v>
      </c>
      <c r="G81" s="27">
        <v>0.02</v>
      </c>
      <c r="H81" t="s" s="29">
        <v>64</v>
      </c>
      <c r="I81" s="30"/>
      <c r="J81" s="30"/>
      <c r="K81" s="30"/>
      <c r="L81" t="s" s="34">
        <v>191</v>
      </c>
      <c r="M81" s="30"/>
      <c r="N81" s="30"/>
      <c r="O81" s="30"/>
      <c r="P81" s="30"/>
      <c r="Q81" s="31"/>
    </row>
    <row r="82" ht="15.75" customHeight="1">
      <c r="A82" t="s" s="25">
        <v>185</v>
      </c>
      <c r="B82" t="s" s="32">
        <v>67</v>
      </c>
      <c r="C82" t="s" s="25">
        <v>192</v>
      </c>
      <c r="D82" s="27">
        <v>0.75</v>
      </c>
      <c r="E82" s="28">
        <v>6.16</v>
      </c>
      <c r="F82" s="28">
        <v>6.14</v>
      </c>
      <c r="G82" s="27">
        <v>0.022</v>
      </c>
      <c r="H82" t="s" s="29">
        <v>64</v>
      </c>
      <c r="I82" s="30"/>
      <c r="J82" s="30"/>
      <c r="K82" s="30"/>
      <c r="L82" t="s" s="34">
        <v>193</v>
      </c>
      <c r="M82" s="30"/>
      <c r="N82" s="30"/>
      <c r="O82" s="30"/>
      <c r="P82" s="30"/>
      <c r="Q82" s="31"/>
    </row>
    <row r="83" ht="15.75" customHeight="1">
      <c r="A83" t="s" s="25">
        <v>185</v>
      </c>
      <c r="B83" t="s" s="32">
        <v>67</v>
      </c>
      <c r="C83" t="s" s="25">
        <v>194</v>
      </c>
      <c r="D83" s="27">
        <v>0.5</v>
      </c>
      <c r="E83" s="28">
        <v>0</v>
      </c>
      <c r="F83" s="28">
        <v>0</v>
      </c>
      <c r="G83" s="27">
        <v>0.006</v>
      </c>
      <c r="H83" s="30"/>
      <c r="I83" s="30"/>
      <c r="J83" s="30"/>
      <c r="K83" s="30"/>
      <c r="L83" t="s" s="34">
        <v>195</v>
      </c>
      <c r="M83" s="30"/>
      <c r="N83" s="30"/>
      <c r="O83" s="30"/>
      <c r="P83" s="30"/>
      <c r="Q83" s="31"/>
    </row>
    <row r="84" ht="15.75" customHeight="1">
      <c r="A84" t="s" s="25">
        <v>185</v>
      </c>
      <c r="B84" t="s" s="32">
        <v>67</v>
      </c>
      <c r="C84" t="s" s="25">
        <v>196</v>
      </c>
      <c r="D84" s="27">
        <v>0.5</v>
      </c>
      <c r="E84" s="28">
        <v>6.12</v>
      </c>
      <c r="F84" s="28">
        <v>6.52</v>
      </c>
      <c r="G84" s="27">
        <v>0.004</v>
      </c>
      <c r="H84" s="30"/>
      <c r="I84" s="30"/>
      <c r="J84" s="30"/>
      <c r="K84" s="30"/>
      <c r="L84" t="s" s="34">
        <v>197</v>
      </c>
      <c r="M84" s="30"/>
      <c r="N84" s="30"/>
      <c r="O84" s="30"/>
      <c r="P84" s="30"/>
      <c r="Q84" s="31"/>
    </row>
    <row r="85" ht="15.75" customHeight="1">
      <c r="A85" t="s" s="25">
        <v>185</v>
      </c>
      <c r="B85" t="s" s="32">
        <v>67</v>
      </c>
      <c r="C85" t="s" s="25">
        <v>198</v>
      </c>
      <c r="D85" s="27">
        <v>0.5</v>
      </c>
      <c r="E85" s="28">
        <v>5.96</v>
      </c>
      <c r="F85" s="28">
        <v>5.84</v>
      </c>
      <c r="G85" s="27">
        <v>0.002</v>
      </c>
      <c r="H85" s="30"/>
      <c r="I85" s="30"/>
      <c r="J85" s="30"/>
      <c r="K85" s="30"/>
      <c r="L85" t="s" s="34">
        <v>199</v>
      </c>
      <c r="M85" s="30"/>
      <c r="N85" s="30"/>
      <c r="O85" s="30"/>
      <c r="P85" s="30"/>
      <c r="Q85" s="31"/>
    </row>
    <row r="86" ht="15.75" customHeight="1">
      <c r="A86" t="s" s="25">
        <v>185</v>
      </c>
      <c r="B86" t="s" s="32">
        <v>67</v>
      </c>
      <c r="C86" t="s" s="25">
        <v>200</v>
      </c>
      <c r="D86" s="27">
        <v>0.5</v>
      </c>
      <c r="E86" s="28">
        <v>6.06</v>
      </c>
      <c r="F86" s="28">
        <v>6.23</v>
      </c>
      <c r="G86" s="27">
        <v>0.002</v>
      </c>
      <c r="H86" t="s" s="29">
        <v>64</v>
      </c>
      <c r="I86" s="30"/>
      <c r="J86" s="30"/>
      <c r="K86" s="30"/>
      <c r="L86" t="s" s="34">
        <v>201</v>
      </c>
      <c r="M86" s="30"/>
      <c r="N86" t="s" s="29">
        <v>64</v>
      </c>
      <c r="O86" s="30"/>
      <c r="P86" s="30"/>
      <c r="Q86" t="s" s="34">
        <v>202</v>
      </c>
    </row>
    <row r="87" ht="15.75" customHeight="1">
      <c r="A87" t="s" s="25">
        <v>185</v>
      </c>
      <c r="B87" t="s" s="32">
        <v>67</v>
      </c>
      <c r="C87" t="s" s="25">
        <v>203</v>
      </c>
      <c r="D87" s="27">
        <v>0.25</v>
      </c>
      <c r="E87" s="28">
        <v>0</v>
      </c>
      <c r="F87" s="28">
        <v>0</v>
      </c>
      <c r="G87" s="27">
        <v>0.002</v>
      </c>
      <c r="H87" s="30"/>
      <c r="I87" s="30"/>
      <c r="J87" s="30"/>
      <c r="K87" s="30"/>
      <c r="L87" s="31"/>
      <c r="M87" s="30"/>
      <c r="N87" s="30"/>
      <c r="O87" s="30"/>
      <c r="P87" s="30"/>
      <c r="Q87" s="31"/>
    </row>
    <row r="88" ht="15.75" customHeight="1">
      <c r="A88" t="s" s="25">
        <v>185</v>
      </c>
      <c r="B88" t="s" s="32">
        <v>67</v>
      </c>
      <c r="C88" t="s" s="25">
        <v>204</v>
      </c>
      <c r="D88" s="27">
        <v>0.25</v>
      </c>
      <c r="E88" s="28">
        <v>5.96</v>
      </c>
      <c r="F88" s="28">
        <v>5.96</v>
      </c>
      <c r="G88" s="27">
        <v>0.002</v>
      </c>
      <c r="H88" s="30"/>
      <c r="I88" s="30"/>
      <c r="J88" s="30"/>
      <c r="K88" s="30"/>
      <c r="L88" s="31"/>
      <c r="M88" s="30"/>
      <c r="N88" s="30"/>
      <c r="O88" s="30"/>
      <c r="P88" s="30"/>
      <c r="Q88" s="31"/>
    </row>
    <row r="89" ht="15.75" customHeight="1">
      <c r="A89" t="s" s="25">
        <v>185</v>
      </c>
      <c r="B89" t="s" s="32">
        <v>67</v>
      </c>
      <c r="C89" t="s" s="25">
        <v>205</v>
      </c>
      <c r="D89" s="27">
        <v>0.01</v>
      </c>
      <c r="E89" s="28">
        <v>0</v>
      </c>
      <c r="F89" s="28">
        <v>0</v>
      </c>
      <c r="G89" s="27">
        <v>0.002</v>
      </c>
      <c r="H89" s="30"/>
      <c r="I89" s="30"/>
      <c r="J89" s="30"/>
      <c r="K89" s="30"/>
      <c r="L89" s="31"/>
      <c r="M89" s="30"/>
      <c r="N89" s="30"/>
      <c r="O89" s="30"/>
      <c r="P89" s="30"/>
      <c r="Q89" s="31"/>
    </row>
    <row r="90" ht="15.75" customHeight="1">
      <c r="A90" t="s" s="25">
        <v>185</v>
      </c>
      <c r="B90" t="s" s="35">
        <v>86</v>
      </c>
      <c r="C90" t="s" s="25">
        <v>206</v>
      </c>
      <c r="D90" s="27">
        <v>0.95</v>
      </c>
      <c r="E90" s="28">
        <v>6.34</v>
      </c>
      <c r="F90" s="28">
        <v>6.91</v>
      </c>
      <c r="G90" s="27">
        <v>0.063</v>
      </c>
      <c r="H90" t="s" s="29">
        <v>64</v>
      </c>
      <c r="I90" s="33">
        <v>1</v>
      </c>
      <c r="J90" s="30"/>
      <c r="K90" s="33">
        <v>3</v>
      </c>
      <c r="L90" s="31"/>
      <c r="M90" t="s" s="29">
        <v>64</v>
      </c>
      <c r="N90" s="30"/>
      <c r="O90" s="30"/>
      <c r="P90" s="30"/>
      <c r="Q90" t="s" s="34">
        <v>207</v>
      </c>
    </row>
    <row r="91" ht="15.75" customHeight="1">
      <c r="A91" t="s" s="25">
        <v>185</v>
      </c>
      <c r="B91" t="s" s="35">
        <v>86</v>
      </c>
      <c r="C91" t="s" s="25">
        <v>208</v>
      </c>
      <c r="D91" s="27">
        <v>0.95</v>
      </c>
      <c r="E91" s="28">
        <v>6.37</v>
      </c>
      <c r="F91" s="28">
        <v>7.3</v>
      </c>
      <c r="G91" s="27">
        <v>0.161</v>
      </c>
      <c r="H91" t="s" s="29">
        <v>64</v>
      </c>
      <c r="I91" s="30"/>
      <c r="J91" s="33">
        <v>1</v>
      </c>
      <c r="K91" s="33">
        <v>1</v>
      </c>
      <c r="L91" s="31"/>
      <c r="M91" s="30"/>
      <c r="N91" s="30"/>
      <c r="O91" s="30"/>
      <c r="P91" s="30"/>
      <c r="Q91" s="31"/>
    </row>
    <row r="92" ht="15.75" customHeight="1">
      <c r="A92" t="s" s="25">
        <v>185</v>
      </c>
      <c r="B92" t="s" s="35">
        <v>86</v>
      </c>
      <c r="C92" t="s" s="25">
        <v>209</v>
      </c>
      <c r="D92" s="27">
        <v>0.75</v>
      </c>
      <c r="E92" s="28">
        <v>6.3</v>
      </c>
      <c r="F92" s="28">
        <v>7.14</v>
      </c>
      <c r="G92" s="27">
        <v>0.08400000000000001</v>
      </c>
      <c r="H92" t="s" s="29">
        <v>64</v>
      </c>
      <c r="I92" s="33">
        <v>3</v>
      </c>
      <c r="J92" s="33">
        <v>2</v>
      </c>
      <c r="K92" s="33">
        <v>2</v>
      </c>
      <c r="L92" s="31"/>
      <c r="M92" s="30"/>
      <c r="N92" s="30"/>
      <c r="O92" s="30"/>
      <c r="P92" s="30"/>
      <c r="Q92" s="31"/>
    </row>
    <row r="93" ht="15.75" customHeight="1">
      <c r="A93" t="s" s="25">
        <v>185</v>
      </c>
      <c r="B93" t="s" s="35">
        <v>86</v>
      </c>
      <c r="C93" t="s" s="25">
        <v>210</v>
      </c>
      <c r="D93" s="27">
        <v>0.75</v>
      </c>
      <c r="E93" s="28">
        <v>6.22</v>
      </c>
      <c r="F93" s="28">
        <v>6.47</v>
      </c>
      <c r="G93" s="27">
        <v>0.01</v>
      </c>
      <c r="H93" t="s" s="29">
        <v>64</v>
      </c>
      <c r="I93" s="30"/>
      <c r="J93" s="30"/>
      <c r="K93" s="30"/>
      <c r="L93" t="s" s="34">
        <v>211</v>
      </c>
      <c r="M93" s="30"/>
      <c r="N93" s="30"/>
      <c r="O93" s="30"/>
      <c r="P93" s="30"/>
      <c r="Q93" s="31"/>
    </row>
    <row r="94" ht="15.75" customHeight="1">
      <c r="A94" t="s" s="25">
        <v>185</v>
      </c>
      <c r="B94" t="s" s="35">
        <v>86</v>
      </c>
      <c r="C94" t="s" s="25">
        <v>212</v>
      </c>
      <c r="D94" s="27">
        <v>0.5</v>
      </c>
      <c r="E94" s="28">
        <v>6.11</v>
      </c>
      <c r="F94" s="28">
        <v>6.41</v>
      </c>
      <c r="G94" s="27">
        <v>0.002</v>
      </c>
      <c r="H94" s="30"/>
      <c r="I94" s="30"/>
      <c r="J94" s="30"/>
      <c r="K94" s="30"/>
      <c r="L94" s="31"/>
      <c r="M94" s="30"/>
      <c r="N94" s="30"/>
      <c r="O94" s="30"/>
      <c r="P94" s="30"/>
      <c r="Q94" s="31"/>
    </row>
    <row r="95" ht="15.75" customHeight="1">
      <c r="A95" t="s" s="25">
        <v>185</v>
      </c>
      <c r="B95" t="s" s="35">
        <v>86</v>
      </c>
      <c r="C95" t="s" s="25">
        <v>213</v>
      </c>
      <c r="D95" s="27">
        <v>0.5</v>
      </c>
      <c r="E95" s="28">
        <v>0</v>
      </c>
      <c r="F95" s="28">
        <v>0</v>
      </c>
      <c r="G95" s="27">
        <v>0.004</v>
      </c>
      <c r="H95" s="30"/>
      <c r="I95" s="30"/>
      <c r="J95" s="30"/>
      <c r="K95" s="30"/>
      <c r="L95" s="31"/>
      <c r="M95" s="30"/>
      <c r="N95" s="30"/>
      <c r="O95" s="30"/>
      <c r="P95" t="s" s="29">
        <v>64</v>
      </c>
      <c r="Q95" t="s" s="34">
        <v>214</v>
      </c>
    </row>
    <row r="96" ht="15.75" customHeight="1">
      <c r="A96" t="s" s="25">
        <v>185</v>
      </c>
      <c r="B96" t="s" s="35">
        <v>86</v>
      </c>
      <c r="C96" t="s" s="25">
        <v>215</v>
      </c>
      <c r="D96" s="27">
        <v>0.5</v>
      </c>
      <c r="E96" s="28">
        <v>0</v>
      </c>
      <c r="F96" s="28">
        <v>0</v>
      </c>
      <c r="G96" s="27">
        <v>0.002</v>
      </c>
      <c r="H96" s="30"/>
      <c r="I96" s="30"/>
      <c r="J96" s="30"/>
      <c r="K96" s="30"/>
      <c r="L96" t="s" s="34">
        <v>216</v>
      </c>
      <c r="M96" s="30"/>
      <c r="N96" s="30"/>
      <c r="O96" s="30"/>
      <c r="P96" s="30"/>
      <c r="Q96" s="31"/>
    </row>
    <row r="97" ht="15.75" customHeight="1">
      <c r="A97" t="s" s="25">
        <v>185</v>
      </c>
      <c r="B97" t="s" s="35">
        <v>86</v>
      </c>
      <c r="C97" t="s" s="25">
        <v>217</v>
      </c>
      <c r="D97" s="27">
        <v>0.5</v>
      </c>
      <c r="E97" s="28">
        <v>6.25</v>
      </c>
      <c r="F97" s="28">
        <v>6.66</v>
      </c>
      <c r="G97" s="27">
        <v>0.012</v>
      </c>
      <c r="H97" s="30"/>
      <c r="I97" s="30"/>
      <c r="J97" s="30"/>
      <c r="K97" s="30"/>
      <c r="L97" t="s" s="34">
        <v>218</v>
      </c>
      <c r="M97" s="30"/>
      <c r="N97" s="30"/>
      <c r="O97" s="30"/>
      <c r="P97" s="30"/>
      <c r="Q97" s="31"/>
    </row>
    <row r="98" ht="15.75" customHeight="1">
      <c r="A98" t="s" s="25">
        <v>185</v>
      </c>
      <c r="B98" t="s" s="35">
        <v>86</v>
      </c>
      <c r="C98" t="s" s="25">
        <v>219</v>
      </c>
      <c r="D98" s="27">
        <v>0.25</v>
      </c>
      <c r="E98" s="28">
        <v>5.96</v>
      </c>
      <c r="F98" s="28">
        <v>6.54</v>
      </c>
      <c r="G98" s="27">
        <v>0.002</v>
      </c>
      <c r="H98" s="30"/>
      <c r="I98" s="30"/>
      <c r="J98" s="30"/>
      <c r="K98" s="30"/>
      <c r="L98" s="31"/>
      <c r="M98" s="30"/>
      <c r="N98" s="30"/>
      <c r="O98" s="30"/>
      <c r="P98" s="30"/>
      <c r="Q98" s="31"/>
    </row>
    <row r="99" ht="15.75" customHeight="1">
      <c r="A99" t="s" s="25">
        <v>185</v>
      </c>
      <c r="B99" t="s" s="35">
        <v>86</v>
      </c>
      <c r="C99" t="s" s="25">
        <v>220</v>
      </c>
      <c r="D99" s="27">
        <v>0.25</v>
      </c>
      <c r="E99" s="28">
        <v>5.92</v>
      </c>
      <c r="F99" s="28">
        <v>6.11</v>
      </c>
      <c r="G99" s="27">
        <v>0.002</v>
      </c>
      <c r="H99" s="30"/>
      <c r="I99" s="30"/>
      <c r="J99" s="30"/>
      <c r="K99" s="30"/>
      <c r="L99" s="31"/>
      <c r="M99" s="30"/>
      <c r="N99" s="30"/>
      <c r="O99" s="30"/>
      <c r="P99" s="30"/>
      <c r="Q99" s="31"/>
    </row>
    <row r="100" ht="15.75" customHeight="1">
      <c r="A100" t="s" s="25">
        <v>185</v>
      </c>
      <c r="B100" t="s" s="35">
        <v>86</v>
      </c>
      <c r="C100" t="s" s="25">
        <v>221</v>
      </c>
      <c r="D100" s="27">
        <v>0.01</v>
      </c>
      <c r="E100" s="28">
        <v>0</v>
      </c>
      <c r="F100" s="28">
        <v>0</v>
      </c>
      <c r="G100" s="27">
        <v>0.002</v>
      </c>
      <c r="H100" s="30"/>
      <c r="I100" s="30"/>
      <c r="J100" s="30"/>
      <c r="K100" s="30"/>
      <c r="L100" s="31"/>
      <c r="M100" s="30"/>
      <c r="N100" s="30"/>
      <c r="O100" s="30"/>
      <c r="P100" s="30"/>
      <c r="Q100" s="31"/>
    </row>
    <row r="101" ht="15.75" customHeight="1">
      <c r="A101" t="s" s="25">
        <v>185</v>
      </c>
      <c r="B101" t="s" s="36">
        <v>100</v>
      </c>
      <c r="C101" t="s" s="25">
        <v>222</v>
      </c>
      <c r="D101" s="27">
        <v>0.95</v>
      </c>
      <c r="E101" s="28">
        <v>6.18</v>
      </c>
      <c r="F101" s="28">
        <v>7.37</v>
      </c>
      <c r="G101" s="27">
        <v>0.168</v>
      </c>
      <c r="H101" t="s" s="29">
        <v>64</v>
      </c>
      <c r="I101" s="33">
        <v>2</v>
      </c>
      <c r="J101" s="30"/>
      <c r="K101" s="30"/>
      <c r="L101" s="31"/>
      <c r="M101" t="s" s="29">
        <v>64</v>
      </c>
      <c r="N101" s="30"/>
      <c r="O101" s="30"/>
      <c r="P101" s="30"/>
      <c r="Q101" t="s" s="34">
        <v>223</v>
      </c>
    </row>
    <row r="102" ht="15.75" customHeight="1">
      <c r="A102" t="s" s="25">
        <v>185</v>
      </c>
      <c r="B102" t="s" s="36">
        <v>100</v>
      </c>
      <c r="C102" t="s" s="25">
        <v>224</v>
      </c>
      <c r="D102" s="27">
        <v>0.75</v>
      </c>
      <c r="E102" s="28">
        <v>6</v>
      </c>
      <c r="F102" s="28">
        <v>6.38</v>
      </c>
      <c r="G102" s="27">
        <v>0.027</v>
      </c>
      <c r="H102" t="s" s="29">
        <v>64</v>
      </c>
      <c r="I102" s="30"/>
      <c r="J102" s="30"/>
      <c r="K102" s="30"/>
      <c r="L102" t="s" s="34">
        <v>225</v>
      </c>
      <c r="M102" s="30"/>
      <c r="N102" s="30"/>
      <c r="O102" t="s" s="29">
        <v>64</v>
      </c>
      <c r="P102" s="30"/>
      <c r="Q102" t="s" s="34">
        <v>226</v>
      </c>
    </row>
    <row r="103" ht="15.75" customHeight="1">
      <c r="A103" t="s" s="25">
        <v>185</v>
      </c>
      <c r="B103" t="s" s="36">
        <v>100</v>
      </c>
      <c r="C103" t="s" s="25">
        <v>227</v>
      </c>
      <c r="D103" s="27">
        <v>0.25</v>
      </c>
      <c r="E103" s="28">
        <v>0</v>
      </c>
      <c r="F103" s="28">
        <v>0</v>
      </c>
      <c r="G103" s="27">
        <v>0.002</v>
      </c>
      <c r="H103" s="30"/>
      <c r="I103" s="30"/>
      <c r="J103" s="30"/>
      <c r="K103" s="30"/>
      <c r="L103" s="31"/>
      <c r="M103" s="30"/>
      <c r="N103" s="30"/>
      <c r="O103" s="30"/>
      <c r="P103" s="30"/>
      <c r="Q103" s="31"/>
    </row>
    <row r="104" ht="15.75" customHeight="1">
      <c r="A104" t="s" s="25">
        <v>185</v>
      </c>
      <c r="B104" t="s" s="36">
        <v>100</v>
      </c>
      <c r="C104" t="s" s="25">
        <v>228</v>
      </c>
      <c r="D104" s="27">
        <v>0.25</v>
      </c>
      <c r="E104" s="28">
        <v>5.96</v>
      </c>
      <c r="F104" s="28">
        <v>6.25</v>
      </c>
      <c r="G104" s="27">
        <v>0.002</v>
      </c>
      <c r="H104" s="30"/>
      <c r="I104" s="30"/>
      <c r="J104" s="30"/>
      <c r="K104" s="30"/>
      <c r="L104" s="31"/>
      <c r="M104" s="30"/>
      <c r="N104" s="30"/>
      <c r="O104" s="30"/>
      <c r="P104" s="30"/>
      <c r="Q104" s="31"/>
    </row>
    <row r="105" ht="15.75" customHeight="1">
      <c r="A105" t="s" s="25">
        <v>185</v>
      </c>
      <c r="B105" t="s" s="36">
        <v>100</v>
      </c>
      <c r="C105" t="s" s="25">
        <v>229</v>
      </c>
      <c r="D105" s="27">
        <v>0.25</v>
      </c>
      <c r="E105" s="28">
        <v>5.5</v>
      </c>
      <c r="F105" s="28">
        <v>5.21</v>
      </c>
      <c r="G105" s="27">
        <v>0.002</v>
      </c>
      <c r="H105" s="30"/>
      <c r="I105" s="30"/>
      <c r="J105" s="30"/>
      <c r="K105" s="30"/>
      <c r="L105" s="31"/>
      <c r="M105" s="30"/>
      <c r="N105" t="s" s="29">
        <v>64</v>
      </c>
      <c r="O105" s="30"/>
      <c r="P105" s="30"/>
      <c r="Q105" t="s" s="34">
        <v>230</v>
      </c>
    </row>
    <row r="106" ht="15.75" customHeight="1">
      <c r="A106" t="s" s="25">
        <v>231</v>
      </c>
      <c r="B106" t="s" s="26">
        <v>62</v>
      </c>
      <c r="C106" t="s" s="25">
        <v>232</v>
      </c>
      <c r="D106" s="27">
        <v>0.95</v>
      </c>
      <c r="E106" s="28">
        <v>6.24</v>
      </c>
      <c r="F106" s="28">
        <v>4.98</v>
      </c>
      <c r="G106" s="27">
        <v>0.036</v>
      </c>
      <c r="H106" t="s" s="29">
        <v>64</v>
      </c>
      <c r="I106" s="30"/>
      <c r="J106" s="30"/>
      <c r="K106" s="30"/>
      <c r="L106" s="31"/>
      <c r="M106" s="30"/>
      <c r="N106" s="30"/>
      <c r="O106" s="30"/>
      <c r="P106" s="30"/>
      <c r="Q106" s="31"/>
    </row>
    <row r="107" ht="15.75" customHeight="1">
      <c r="A107" t="s" s="25">
        <v>231</v>
      </c>
      <c r="B107" t="s" s="26">
        <v>62</v>
      </c>
      <c r="C107" t="s" s="25">
        <v>233</v>
      </c>
      <c r="D107" s="27">
        <v>0.01</v>
      </c>
      <c r="E107" s="28">
        <v>7.5</v>
      </c>
      <c r="F107" s="28">
        <v>6.5</v>
      </c>
      <c r="G107" s="27">
        <v>0.002</v>
      </c>
      <c r="H107" s="30"/>
      <c r="I107" s="30"/>
      <c r="J107" s="30"/>
      <c r="K107" s="30"/>
      <c r="L107" s="31"/>
      <c r="M107" s="30"/>
      <c r="N107" s="30"/>
      <c r="O107" s="30"/>
      <c r="P107" s="30"/>
      <c r="Q107" s="31"/>
    </row>
    <row r="108" ht="15.75" customHeight="1">
      <c r="A108" t="s" s="25">
        <v>231</v>
      </c>
      <c r="B108" t="s" s="26">
        <v>62</v>
      </c>
      <c r="C108" t="s" s="25">
        <v>234</v>
      </c>
      <c r="D108" s="27">
        <v>0.01</v>
      </c>
      <c r="E108" s="28">
        <v>0</v>
      </c>
      <c r="F108" s="28">
        <v>0</v>
      </c>
      <c r="G108" s="27">
        <v>0.002</v>
      </c>
      <c r="H108" s="30"/>
      <c r="I108" s="30"/>
      <c r="J108" s="30"/>
      <c r="K108" s="30"/>
      <c r="L108" s="31"/>
      <c r="M108" s="30"/>
      <c r="N108" s="30"/>
      <c r="O108" s="30"/>
      <c r="P108" s="30"/>
      <c r="Q108" s="31"/>
    </row>
    <row r="109" ht="15.75" customHeight="1">
      <c r="A109" t="s" s="25">
        <v>231</v>
      </c>
      <c r="B109" t="s" s="32">
        <v>67</v>
      </c>
      <c r="C109" t="s" s="25">
        <v>235</v>
      </c>
      <c r="D109" s="27">
        <v>0.75</v>
      </c>
      <c r="E109" s="28">
        <v>0</v>
      </c>
      <c r="F109" s="28">
        <v>0</v>
      </c>
      <c r="G109" s="27">
        <v>0.015</v>
      </c>
      <c r="H109" t="s" s="29">
        <v>64</v>
      </c>
      <c r="I109" s="30"/>
      <c r="J109" s="30"/>
      <c r="K109" s="30"/>
      <c r="L109" s="31"/>
      <c r="M109" s="30"/>
      <c r="N109" s="30"/>
      <c r="O109" s="30"/>
      <c r="P109" s="30"/>
      <c r="Q109" s="31"/>
    </row>
    <row r="110" ht="15.75" customHeight="1">
      <c r="A110" t="s" s="25">
        <v>231</v>
      </c>
      <c r="B110" t="s" s="32">
        <v>67</v>
      </c>
      <c r="C110" t="s" s="25">
        <v>236</v>
      </c>
      <c r="D110" s="27">
        <v>0.75</v>
      </c>
      <c r="E110" s="28">
        <v>5.5</v>
      </c>
      <c r="F110" s="28">
        <v>5</v>
      </c>
      <c r="G110" s="27">
        <v>0.024</v>
      </c>
      <c r="H110" t="s" s="29">
        <v>64</v>
      </c>
      <c r="I110" s="30"/>
      <c r="J110" s="30"/>
      <c r="K110" s="30"/>
      <c r="L110" t="s" s="34">
        <v>237</v>
      </c>
      <c r="M110" t="s" s="29">
        <v>64</v>
      </c>
      <c r="N110" s="30"/>
      <c r="O110" s="30"/>
      <c r="P110" s="30"/>
      <c r="Q110" t="s" s="34">
        <v>238</v>
      </c>
    </row>
    <row r="111" ht="15.75" customHeight="1">
      <c r="A111" t="s" s="25">
        <v>231</v>
      </c>
      <c r="B111" t="s" s="32">
        <v>67</v>
      </c>
      <c r="C111" t="s" s="25">
        <v>239</v>
      </c>
      <c r="D111" s="27">
        <v>0.75</v>
      </c>
      <c r="E111" s="28">
        <v>0</v>
      </c>
      <c r="F111" s="28">
        <v>0</v>
      </c>
      <c r="G111" s="27">
        <v>0.008999999999999999</v>
      </c>
      <c r="H111" t="s" s="29">
        <v>64</v>
      </c>
      <c r="I111" s="30"/>
      <c r="J111" s="30"/>
      <c r="K111" s="30"/>
      <c r="L111" s="31"/>
      <c r="M111" s="30"/>
      <c r="N111" s="30"/>
      <c r="O111" s="30"/>
      <c r="P111" s="30"/>
      <c r="Q111" s="31"/>
    </row>
    <row r="112" ht="15.75" customHeight="1">
      <c r="A112" t="s" s="25">
        <v>231</v>
      </c>
      <c r="B112" t="s" s="32">
        <v>67</v>
      </c>
      <c r="C112" t="s" s="25">
        <v>240</v>
      </c>
      <c r="D112" s="27">
        <v>0.75</v>
      </c>
      <c r="E112" s="28">
        <v>0</v>
      </c>
      <c r="F112" s="28">
        <v>0</v>
      </c>
      <c r="G112" s="27">
        <v>0.002</v>
      </c>
      <c r="H112" t="s" s="29">
        <v>64</v>
      </c>
      <c r="I112" s="30"/>
      <c r="J112" s="30"/>
      <c r="K112" s="30"/>
      <c r="L112" t="s" s="34">
        <v>241</v>
      </c>
      <c r="M112" s="30"/>
      <c r="N112" s="30"/>
      <c r="O112" s="30"/>
      <c r="P112" s="30"/>
      <c r="Q112" s="31"/>
    </row>
    <row r="113" ht="15.75" customHeight="1">
      <c r="A113" t="s" s="25">
        <v>231</v>
      </c>
      <c r="B113" t="s" s="32">
        <v>67</v>
      </c>
      <c r="C113" t="s" s="25">
        <v>242</v>
      </c>
      <c r="D113" s="27">
        <v>0.5</v>
      </c>
      <c r="E113" s="28">
        <v>5.99</v>
      </c>
      <c r="F113" s="28">
        <v>6.03</v>
      </c>
      <c r="G113" s="27">
        <v>0.01</v>
      </c>
      <c r="H113" s="30"/>
      <c r="I113" s="30"/>
      <c r="J113" s="30"/>
      <c r="K113" s="30"/>
      <c r="L113" s="31"/>
      <c r="M113" s="30"/>
      <c r="N113" s="30"/>
      <c r="O113" s="30"/>
      <c r="P113" s="30"/>
      <c r="Q113" s="31"/>
    </row>
    <row r="114" ht="15.75" customHeight="1">
      <c r="A114" t="s" s="25">
        <v>231</v>
      </c>
      <c r="B114" t="s" s="32">
        <v>67</v>
      </c>
      <c r="C114" t="s" s="25">
        <v>243</v>
      </c>
      <c r="D114" s="27">
        <v>0.5</v>
      </c>
      <c r="E114" s="28">
        <v>5.79</v>
      </c>
      <c r="F114" s="28">
        <v>6</v>
      </c>
      <c r="G114" s="27">
        <v>0.002</v>
      </c>
      <c r="H114" s="30"/>
      <c r="I114" s="30"/>
      <c r="J114" s="30"/>
      <c r="K114" s="30"/>
      <c r="L114" t="s" s="34">
        <v>244</v>
      </c>
      <c r="M114" s="30"/>
      <c r="N114" s="30"/>
      <c r="O114" s="30"/>
      <c r="P114" s="30"/>
      <c r="Q114" s="31"/>
    </row>
    <row r="115" ht="15.75" customHeight="1">
      <c r="A115" t="s" s="25">
        <v>231</v>
      </c>
      <c r="B115" t="s" s="32">
        <v>67</v>
      </c>
      <c r="C115" t="s" s="25">
        <v>245</v>
      </c>
      <c r="D115" s="27">
        <v>0.5</v>
      </c>
      <c r="E115" s="28">
        <v>5.84</v>
      </c>
      <c r="F115" s="28">
        <v>5.67</v>
      </c>
      <c r="G115" s="27">
        <v>0.002</v>
      </c>
      <c r="H115" s="30"/>
      <c r="I115" s="30"/>
      <c r="J115" s="30"/>
      <c r="K115" s="30"/>
      <c r="L115" s="31"/>
      <c r="M115" s="30"/>
      <c r="N115" s="30"/>
      <c r="O115" s="30"/>
      <c r="P115" s="30"/>
      <c r="Q115" s="31"/>
    </row>
    <row r="116" ht="15.75" customHeight="1">
      <c r="A116" t="s" s="25">
        <v>231</v>
      </c>
      <c r="B116" t="s" s="32">
        <v>67</v>
      </c>
      <c r="C116" t="s" s="25">
        <v>246</v>
      </c>
      <c r="D116" s="27">
        <v>0.25</v>
      </c>
      <c r="E116" s="28">
        <v>5.85</v>
      </c>
      <c r="F116" s="28">
        <v>5.79</v>
      </c>
      <c r="G116" s="27">
        <v>0.002</v>
      </c>
      <c r="H116" s="30"/>
      <c r="I116" s="30"/>
      <c r="J116" s="30"/>
      <c r="K116" s="30"/>
      <c r="L116" t="s" s="34">
        <v>247</v>
      </c>
      <c r="M116" s="30"/>
      <c r="N116" t="s" s="29">
        <v>64</v>
      </c>
      <c r="O116" s="30"/>
      <c r="P116" s="30"/>
      <c r="Q116" t="s" s="34">
        <v>248</v>
      </c>
    </row>
    <row r="117" ht="15.75" customHeight="1">
      <c r="A117" t="s" s="25">
        <v>231</v>
      </c>
      <c r="B117" t="s" s="32">
        <v>67</v>
      </c>
      <c r="C117" t="s" s="25">
        <v>249</v>
      </c>
      <c r="D117" s="27">
        <v>0.01</v>
      </c>
      <c r="E117" s="28">
        <v>6.02</v>
      </c>
      <c r="F117" s="28">
        <v>5.98</v>
      </c>
      <c r="G117" s="27">
        <v>0.002</v>
      </c>
      <c r="H117" s="30"/>
      <c r="I117" s="30"/>
      <c r="J117" s="30"/>
      <c r="K117" s="30"/>
      <c r="L117" s="31"/>
      <c r="M117" s="30"/>
      <c r="N117" s="30"/>
      <c r="O117" s="30"/>
      <c r="P117" s="30"/>
      <c r="Q117" s="31"/>
    </row>
    <row r="118" ht="15.75" customHeight="1">
      <c r="A118" t="s" s="25">
        <v>231</v>
      </c>
      <c r="B118" t="s" s="35">
        <v>86</v>
      </c>
      <c r="C118" t="s" s="25">
        <v>250</v>
      </c>
      <c r="D118" s="27">
        <v>0.95</v>
      </c>
      <c r="E118" s="28">
        <v>6.36</v>
      </c>
      <c r="F118" s="28">
        <v>6.88</v>
      </c>
      <c r="G118" s="27">
        <v>0.076</v>
      </c>
      <c r="H118" t="s" s="29">
        <v>64</v>
      </c>
      <c r="I118" s="30"/>
      <c r="J118" s="30"/>
      <c r="K118" s="30"/>
      <c r="L118" s="31"/>
      <c r="M118" t="s" s="29">
        <v>64</v>
      </c>
      <c r="N118" s="30"/>
      <c r="O118" s="30"/>
      <c r="P118" s="30"/>
      <c r="Q118" t="s" s="34">
        <v>251</v>
      </c>
    </row>
    <row r="119" ht="15.75" customHeight="1">
      <c r="A119" t="s" s="25">
        <v>231</v>
      </c>
      <c r="B119" t="s" s="35">
        <v>86</v>
      </c>
      <c r="C119" t="s" s="25">
        <v>252</v>
      </c>
      <c r="D119" s="27">
        <v>0.75</v>
      </c>
      <c r="E119" s="28">
        <v>6.03</v>
      </c>
      <c r="F119" s="28">
        <v>6.23</v>
      </c>
      <c r="G119" s="27">
        <v>0.002</v>
      </c>
      <c r="H119" t="s" s="29">
        <v>64</v>
      </c>
      <c r="I119" s="30"/>
      <c r="J119" s="33">
        <v>2</v>
      </c>
      <c r="K119" s="33">
        <v>1</v>
      </c>
      <c r="L119" s="31"/>
      <c r="M119" s="30"/>
      <c r="N119" s="30"/>
      <c r="O119" s="30"/>
      <c r="P119" s="30"/>
      <c r="Q119" s="31"/>
    </row>
    <row r="120" ht="15.75" customHeight="1">
      <c r="A120" t="s" s="25">
        <v>231</v>
      </c>
      <c r="B120" t="s" s="35">
        <v>86</v>
      </c>
      <c r="C120" t="s" s="25">
        <v>253</v>
      </c>
      <c r="D120" s="27">
        <v>0.75</v>
      </c>
      <c r="E120" s="28">
        <v>0</v>
      </c>
      <c r="F120" s="28">
        <v>0</v>
      </c>
      <c r="G120" s="27">
        <v>0.07199999999999999</v>
      </c>
      <c r="H120" t="s" s="29">
        <v>64</v>
      </c>
      <c r="I120" s="33">
        <v>3</v>
      </c>
      <c r="J120" s="33">
        <v>1</v>
      </c>
      <c r="K120" s="33">
        <v>2</v>
      </c>
      <c r="L120" s="31"/>
      <c r="M120" s="30"/>
      <c r="N120" s="30"/>
      <c r="O120" s="30"/>
      <c r="P120" s="30"/>
      <c r="Q120" s="31"/>
    </row>
    <row r="121" ht="15.75" customHeight="1">
      <c r="A121" t="s" s="25">
        <v>231</v>
      </c>
      <c r="B121" t="s" s="35">
        <v>86</v>
      </c>
      <c r="C121" t="s" s="25">
        <v>254</v>
      </c>
      <c r="D121" s="27">
        <v>0.5</v>
      </c>
      <c r="E121" s="28">
        <v>5.88</v>
      </c>
      <c r="F121" s="28">
        <v>6.35</v>
      </c>
      <c r="G121" s="27">
        <v>0.042</v>
      </c>
      <c r="H121" s="30"/>
      <c r="I121" s="33">
        <v>2</v>
      </c>
      <c r="J121" s="30"/>
      <c r="K121" s="30"/>
      <c r="L121" t="s" s="34">
        <v>255</v>
      </c>
      <c r="M121" s="30"/>
      <c r="N121" s="30"/>
      <c r="O121" s="30"/>
      <c r="P121" s="30"/>
      <c r="Q121" s="31"/>
    </row>
    <row r="122" ht="15.75" customHeight="1">
      <c r="A122" t="s" s="25">
        <v>231</v>
      </c>
      <c r="B122" t="s" s="35">
        <v>86</v>
      </c>
      <c r="C122" t="s" s="25">
        <v>256</v>
      </c>
      <c r="D122" s="27">
        <v>0.5</v>
      </c>
      <c r="E122" s="28">
        <v>6.04</v>
      </c>
      <c r="F122" s="28">
        <v>6.61</v>
      </c>
      <c r="G122" s="27">
        <v>0.003</v>
      </c>
      <c r="H122" s="30"/>
      <c r="I122" s="30"/>
      <c r="J122" s="30"/>
      <c r="K122" s="33">
        <v>3</v>
      </c>
      <c r="L122" s="31"/>
      <c r="M122" s="30"/>
      <c r="N122" s="30"/>
      <c r="O122" s="30"/>
      <c r="P122" s="30"/>
      <c r="Q122" s="31"/>
    </row>
    <row r="123" ht="15.75" customHeight="1">
      <c r="A123" t="s" s="25">
        <v>231</v>
      </c>
      <c r="B123" t="s" s="35">
        <v>86</v>
      </c>
      <c r="C123" t="s" s="25">
        <v>257</v>
      </c>
      <c r="D123" s="27">
        <v>0.5</v>
      </c>
      <c r="E123" s="28">
        <v>5.8</v>
      </c>
      <c r="F123" s="28">
        <v>6.07</v>
      </c>
      <c r="G123" s="27">
        <v>0.004</v>
      </c>
      <c r="H123" t="s" s="29">
        <v>64</v>
      </c>
      <c r="I123" s="30"/>
      <c r="J123" s="30"/>
      <c r="K123" s="30"/>
      <c r="L123" t="s" s="34">
        <v>258</v>
      </c>
      <c r="M123" s="30"/>
      <c r="N123" s="30"/>
      <c r="O123" t="s" s="29">
        <v>64</v>
      </c>
      <c r="P123" s="30"/>
      <c r="Q123" t="s" s="34">
        <v>259</v>
      </c>
    </row>
    <row r="124" ht="15.75" customHeight="1">
      <c r="A124" t="s" s="25">
        <v>231</v>
      </c>
      <c r="B124" t="s" s="35">
        <v>86</v>
      </c>
      <c r="C124" t="s" s="25">
        <v>260</v>
      </c>
      <c r="D124" s="27">
        <v>0.5</v>
      </c>
      <c r="E124" s="28">
        <v>0</v>
      </c>
      <c r="F124" s="28">
        <v>0</v>
      </c>
      <c r="G124" s="27">
        <v>0.002</v>
      </c>
      <c r="H124" t="s" s="29">
        <v>64</v>
      </c>
      <c r="I124" s="30"/>
      <c r="J124" s="30"/>
      <c r="K124" s="30"/>
      <c r="L124" s="31"/>
      <c r="M124" s="30"/>
      <c r="N124" s="30"/>
      <c r="O124" s="30"/>
      <c r="P124" t="s" s="29">
        <v>64</v>
      </c>
      <c r="Q124" t="s" s="34">
        <v>261</v>
      </c>
    </row>
    <row r="125" ht="15.75" customHeight="1">
      <c r="A125" t="s" s="25">
        <v>231</v>
      </c>
      <c r="B125" t="s" s="35">
        <v>86</v>
      </c>
      <c r="C125" t="s" s="25">
        <v>262</v>
      </c>
      <c r="D125" s="27">
        <v>0.25</v>
      </c>
      <c r="E125" s="28">
        <v>5.97</v>
      </c>
      <c r="F125" s="28">
        <v>6.3</v>
      </c>
      <c r="G125" s="27">
        <v>0.002</v>
      </c>
      <c r="H125" s="30"/>
      <c r="I125" s="30"/>
      <c r="J125" s="30"/>
      <c r="K125" s="30"/>
      <c r="L125" s="31"/>
      <c r="M125" s="30"/>
      <c r="N125" t="s" s="29">
        <v>64</v>
      </c>
      <c r="O125" s="30"/>
      <c r="P125" s="30"/>
      <c r="Q125" t="s" s="34">
        <v>263</v>
      </c>
    </row>
    <row r="126" ht="15.75" customHeight="1">
      <c r="A126" t="s" s="25">
        <v>231</v>
      </c>
      <c r="B126" t="s" s="35">
        <v>86</v>
      </c>
      <c r="C126" t="s" s="25">
        <v>264</v>
      </c>
      <c r="D126" s="27">
        <v>0.25</v>
      </c>
      <c r="E126" s="28">
        <v>5.8</v>
      </c>
      <c r="F126" s="28">
        <v>6.03</v>
      </c>
      <c r="G126" s="27">
        <v>0.002</v>
      </c>
      <c r="H126" s="30"/>
      <c r="I126" s="30"/>
      <c r="J126" s="30"/>
      <c r="K126" s="30"/>
      <c r="L126" s="31"/>
      <c r="M126" s="30"/>
      <c r="N126" s="30"/>
      <c r="O126" s="30"/>
      <c r="P126" s="30"/>
      <c r="Q126" s="31"/>
    </row>
    <row r="127" ht="15.75" customHeight="1">
      <c r="A127" t="s" s="25">
        <v>231</v>
      </c>
      <c r="B127" t="s" s="36">
        <v>100</v>
      </c>
      <c r="C127" t="s" s="25">
        <v>265</v>
      </c>
      <c r="D127" s="27">
        <v>0.75</v>
      </c>
      <c r="E127" s="28">
        <v>5.88</v>
      </c>
      <c r="F127" s="28">
        <v>6.76</v>
      </c>
      <c r="G127" s="27">
        <v>0.206</v>
      </c>
      <c r="H127" t="s" s="29">
        <v>64</v>
      </c>
      <c r="I127" s="33">
        <v>1</v>
      </c>
      <c r="J127" s="30"/>
      <c r="K127" s="30"/>
      <c r="L127" t="s" s="34">
        <v>266</v>
      </c>
      <c r="M127" s="30"/>
      <c r="N127" s="30"/>
      <c r="O127" s="30"/>
      <c r="P127" s="30"/>
      <c r="Q127" s="31"/>
    </row>
    <row r="128" ht="15.75" customHeight="1">
      <c r="A128" t="s" s="25">
        <v>231</v>
      </c>
      <c r="B128" t="s" s="36">
        <v>100</v>
      </c>
      <c r="C128" t="s" s="25">
        <v>267</v>
      </c>
      <c r="D128" s="27">
        <v>0.5</v>
      </c>
      <c r="E128" s="28">
        <v>5.99</v>
      </c>
      <c r="F128" s="28">
        <v>6.65</v>
      </c>
      <c r="G128" s="27">
        <v>0.036</v>
      </c>
      <c r="H128" s="30"/>
      <c r="I128" s="30"/>
      <c r="J128" s="30"/>
      <c r="K128" s="30"/>
      <c r="L128" t="s" s="34">
        <v>268</v>
      </c>
      <c r="M128" s="30"/>
      <c r="N128" s="30"/>
      <c r="O128" s="30"/>
      <c r="P128" s="30"/>
      <c r="Q128" s="31"/>
    </row>
    <row r="129" ht="15.75" customHeight="1">
      <c r="A129" t="s" s="25">
        <v>269</v>
      </c>
      <c r="B129" t="s" s="26">
        <v>62</v>
      </c>
      <c r="C129" t="s" s="25">
        <v>270</v>
      </c>
      <c r="D129" s="27">
        <v>0.5</v>
      </c>
      <c r="E129" s="28">
        <v>0</v>
      </c>
      <c r="F129" s="28">
        <v>0</v>
      </c>
      <c r="G129" s="27">
        <v>0.002</v>
      </c>
      <c r="H129" s="30"/>
      <c r="I129" s="30"/>
      <c r="J129" s="30"/>
      <c r="K129" s="30"/>
      <c r="L129" t="s" s="34">
        <v>271</v>
      </c>
      <c r="M129" s="30"/>
      <c r="N129" s="30"/>
      <c r="O129" s="30"/>
      <c r="P129" s="30"/>
      <c r="Q129" s="31"/>
    </row>
    <row r="130" ht="15.75" customHeight="1">
      <c r="A130" t="s" s="25">
        <v>269</v>
      </c>
      <c r="B130" t="s" s="26">
        <v>62</v>
      </c>
      <c r="C130" t="s" s="25">
        <v>272</v>
      </c>
      <c r="D130" s="27">
        <v>0.5</v>
      </c>
      <c r="E130" s="28">
        <v>0</v>
      </c>
      <c r="F130" s="28">
        <v>0</v>
      </c>
      <c r="G130" s="27">
        <v>0.002</v>
      </c>
      <c r="H130" t="s" s="29">
        <v>64</v>
      </c>
      <c r="I130" s="30"/>
      <c r="J130" s="30"/>
      <c r="K130" s="30"/>
      <c r="L130" t="s" s="34">
        <v>273</v>
      </c>
      <c r="M130" s="30"/>
      <c r="N130" s="30"/>
      <c r="O130" s="30"/>
      <c r="P130" s="30"/>
      <c r="Q130" s="31"/>
    </row>
    <row r="131" ht="15.75" customHeight="1">
      <c r="A131" t="s" s="25">
        <v>269</v>
      </c>
      <c r="B131" t="s" s="26">
        <v>62</v>
      </c>
      <c r="C131" t="s" s="25">
        <v>274</v>
      </c>
      <c r="D131" s="27">
        <v>0.01</v>
      </c>
      <c r="E131" s="28">
        <v>0</v>
      </c>
      <c r="F131" s="28">
        <v>0</v>
      </c>
      <c r="G131" s="27">
        <v>0.002</v>
      </c>
      <c r="H131" s="30"/>
      <c r="I131" s="30"/>
      <c r="J131" s="30"/>
      <c r="K131" s="30"/>
      <c r="L131" s="31"/>
      <c r="M131" s="30"/>
      <c r="N131" s="30"/>
      <c r="O131" s="30"/>
      <c r="P131" s="30"/>
      <c r="Q131" s="31"/>
    </row>
    <row r="132" ht="15.75" customHeight="1">
      <c r="A132" t="s" s="25">
        <v>269</v>
      </c>
      <c r="B132" t="s" s="26">
        <v>62</v>
      </c>
      <c r="C132" t="s" s="25">
        <v>275</v>
      </c>
      <c r="D132" s="27">
        <v>0.01</v>
      </c>
      <c r="E132" s="28">
        <v>0</v>
      </c>
      <c r="F132" s="28">
        <v>0</v>
      </c>
      <c r="G132" s="27">
        <v>0.051</v>
      </c>
      <c r="H132" s="30"/>
      <c r="I132" s="30"/>
      <c r="J132" s="30"/>
      <c r="K132" s="30"/>
      <c r="L132" s="31"/>
      <c r="M132" s="30"/>
      <c r="N132" s="30"/>
      <c r="O132" s="30"/>
      <c r="P132" s="30"/>
      <c r="Q132" s="31"/>
    </row>
    <row r="133" ht="15.75" customHeight="1">
      <c r="A133" t="s" s="25">
        <v>269</v>
      </c>
      <c r="B133" t="s" s="32">
        <v>67</v>
      </c>
      <c r="C133" t="s" s="25">
        <v>276</v>
      </c>
      <c r="D133" s="27">
        <v>0.75</v>
      </c>
      <c r="E133" s="28">
        <v>0</v>
      </c>
      <c r="F133" s="28">
        <v>0</v>
      </c>
      <c r="G133" s="27">
        <v>0.002</v>
      </c>
      <c r="H133" t="s" s="29">
        <v>64</v>
      </c>
      <c r="I133" s="30"/>
      <c r="J133" s="30"/>
      <c r="K133" s="30"/>
      <c r="L133" s="31"/>
      <c r="M133" s="30"/>
      <c r="N133" s="30"/>
      <c r="O133" s="30"/>
      <c r="P133" s="30"/>
      <c r="Q133" s="31"/>
    </row>
    <row r="134" ht="15.75" customHeight="1">
      <c r="A134" t="s" s="25">
        <v>269</v>
      </c>
      <c r="B134" t="s" s="32">
        <v>67</v>
      </c>
      <c r="C134" t="s" s="25">
        <v>277</v>
      </c>
      <c r="D134" s="27">
        <v>0.75</v>
      </c>
      <c r="E134" s="28">
        <v>0</v>
      </c>
      <c r="F134" s="28">
        <v>0</v>
      </c>
      <c r="G134" s="27">
        <v>0.002</v>
      </c>
      <c r="H134" t="s" s="29">
        <v>64</v>
      </c>
      <c r="I134" s="30"/>
      <c r="J134" s="30"/>
      <c r="K134" s="30"/>
      <c r="L134" s="31"/>
      <c r="M134" s="30"/>
      <c r="N134" s="30"/>
      <c r="O134" s="30"/>
      <c r="P134" s="30"/>
      <c r="Q134" s="31"/>
    </row>
    <row r="135" ht="15.75" customHeight="1">
      <c r="A135" t="s" s="25">
        <v>269</v>
      </c>
      <c r="B135" t="s" s="32">
        <v>67</v>
      </c>
      <c r="C135" t="s" s="25">
        <v>278</v>
      </c>
      <c r="D135" s="27">
        <v>0.5</v>
      </c>
      <c r="E135" s="28">
        <v>0</v>
      </c>
      <c r="F135" s="28">
        <v>0</v>
      </c>
      <c r="G135" s="27">
        <v>0.002</v>
      </c>
      <c r="H135" s="30"/>
      <c r="I135" s="30"/>
      <c r="J135" s="30"/>
      <c r="K135" s="30"/>
      <c r="L135" s="31"/>
      <c r="M135" s="30"/>
      <c r="N135" s="30"/>
      <c r="O135" s="30"/>
      <c r="P135" s="30"/>
      <c r="Q135" s="31"/>
    </row>
    <row r="136" ht="15.75" customHeight="1">
      <c r="A136" t="s" s="25">
        <v>269</v>
      </c>
      <c r="B136" t="s" s="32">
        <v>67</v>
      </c>
      <c r="C136" t="s" s="25">
        <v>279</v>
      </c>
      <c r="D136" s="27">
        <v>0.5</v>
      </c>
      <c r="E136" s="28">
        <v>0</v>
      </c>
      <c r="F136" s="28">
        <v>0</v>
      </c>
      <c r="G136" s="27">
        <v>0.002</v>
      </c>
      <c r="H136" s="30"/>
      <c r="I136" s="30"/>
      <c r="J136" s="30"/>
      <c r="K136" s="30"/>
      <c r="L136" t="s" s="34">
        <v>280</v>
      </c>
      <c r="M136" s="30"/>
      <c r="N136" s="30"/>
      <c r="O136" s="30"/>
      <c r="P136" s="30"/>
      <c r="Q136" s="31"/>
    </row>
    <row r="137" ht="15.75" customHeight="1">
      <c r="A137" t="s" s="25">
        <v>269</v>
      </c>
      <c r="B137" t="s" s="32">
        <v>67</v>
      </c>
      <c r="C137" t="s" s="25">
        <v>281</v>
      </c>
      <c r="D137" s="27">
        <v>0.5</v>
      </c>
      <c r="E137" s="28">
        <v>0</v>
      </c>
      <c r="F137" s="28">
        <v>0</v>
      </c>
      <c r="G137" s="27">
        <v>0.002</v>
      </c>
      <c r="H137" t="s" s="29">
        <v>64</v>
      </c>
      <c r="I137" s="30"/>
      <c r="J137" s="30"/>
      <c r="K137" s="30"/>
      <c r="L137" t="s" s="34">
        <v>282</v>
      </c>
      <c r="M137" s="30"/>
      <c r="N137" t="s" s="29">
        <v>64</v>
      </c>
      <c r="O137" s="30"/>
      <c r="P137" s="30"/>
      <c r="Q137" t="s" s="34">
        <v>283</v>
      </c>
    </row>
    <row r="138" ht="15.75" customHeight="1">
      <c r="A138" t="s" s="25">
        <v>269</v>
      </c>
      <c r="B138" t="s" s="32">
        <v>67</v>
      </c>
      <c r="C138" t="s" s="25">
        <v>284</v>
      </c>
      <c r="D138" s="27">
        <v>0.5</v>
      </c>
      <c r="E138" s="28">
        <v>0</v>
      </c>
      <c r="F138" s="28">
        <v>0</v>
      </c>
      <c r="G138" s="27">
        <v>0.002</v>
      </c>
      <c r="H138" t="s" s="29">
        <v>64</v>
      </c>
      <c r="I138" s="30"/>
      <c r="J138" s="30"/>
      <c r="K138" s="30"/>
      <c r="L138" s="31"/>
      <c r="M138" s="30"/>
      <c r="N138" s="30"/>
      <c r="O138" s="30"/>
      <c r="P138" s="30"/>
      <c r="Q138" s="31"/>
    </row>
    <row r="139" ht="15.75" customHeight="1">
      <c r="A139" t="s" s="25">
        <v>269</v>
      </c>
      <c r="B139" t="s" s="32">
        <v>67</v>
      </c>
      <c r="C139" t="s" s="25">
        <v>285</v>
      </c>
      <c r="D139" s="27">
        <v>0.25</v>
      </c>
      <c r="E139" s="28">
        <v>0</v>
      </c>
      <c r="F139" s="28">
        <v>0</v>
      </c>
      <c r="G139" s="27">
        <v>0.002</v>
      </c>
      <c r="H139" s="30"/>
      <c r="I139" s="30"/>
      <c r="J139" s="30"/>
      <c r="K139" s="30"/>
      <c r="L139" s="31"/>
      <c r="M139" s="30"/>
      <c r="N139" s="30"/>
      <c r="O139" s="30"/>
      <c r="P139" s="30"/>
      <c r="Q139" s="31"/>
    </row>
    <row r="140" ht="15.75" customHeight="1">
      <c r="A140" t="s" s="25">
        <v>269</v>
      </c>
      <c r="B140" t="s" s="32">
        <v>67</v>
      </c>
      <c r="C140" t="s" s="25">
        <v>286</v>
      </c>
      <c r="D140" s="27">
        <v>0.01</v>
      </c>
      <c r="E140" s="28">
        <v>0</v>
      </c>
      <c r="F140" s="28">
        <v>0</v>
      </c>
      <c r="G140" s="27">
        <v>0.002</v>
      </c>
      <c r="H140" s="30"/>
      <c r="I140" s="30"/>
      <c r="J140" s="30"/>
      <c r="K140" s="30"/>
      <c r="L140" s="31"/>
      <c r="M140" s="30"/>
      <c r="N140" s="30"/>
      <c r="O140" s="30"/>
      <c r="P140" s="30"/>
      <c r="Q140" s="31"/>
    </row>
    <row r="141" ht="15.75" customHeight="1">
      <c r="A141" t="s" s="25">
        <v>269</v>
      </c>
      <c r="B141" t="s" s="32">
        <v>67</v>
      </c>
      <c r="C141" t="s" s="25">
        <v>287</v>
      </c>
      <c r="D141" s="27">
        <v>0.01</v>
      </c>
      <c r="E141" s="28">
        <v>0</v>
      </c>
      <c r="F141" s="28">
        <v>0</v>
      </c>
      <c r="G141" s="27">
        <v>0.002</v>
      </c>
      <c r="H141" s="30"/>
      <c r="I141" s="30"/>
      <c r="J141" s="30"/>
      <c r="K141" s="30"/>
      <c r="L141" s="31"/>
      <c r="M141" s="30"/>
      <c r="N141" s="30"/>
      <c r="O141" s="30"/>
      <c r="P141" s="30"/>
      <c r="Q141" s="31"/>
    </row>
    <row r="142" ht="15.75" customHeight="1">
      <c r="A142" t="s" s="25">
        <v>269</v>
      </c>
      <c r="B142" t="s" s="32">
        <v>67</v>
      </c>
      <c r="C142" t="s" s="25">
        <v>288</v>
      </c>
      <c r="D142" s="27">
        <v>0.01</v>
      </c>
      <c r="E142" s="28">
        <v>0</v>
      </c>
      <c r="F142" s="28">
        <v>0</v>
      </c>
      <c r="G142" s="27">
        <v>0.002</v>
      </c>
      <c r="H142" s="30"/>
      <c r="I142" s="30"/>
      <c r="J142" s="30"/>
      <c r="K142" s="30"/>
      <c r="L142" s="31"/>
      <c r="M142" s="30"/>
      <c r="N142" s="30"/>
      <c r="O142" s="30"/>
      <c r="P142" s="30"/>
      <c r="Q142" s="31"/>
    </row>
    <row r="143" ht="15.75" customHeight="1">
      <c r="A143" t="s" s="25">
        <v>269</v>
      </c>
      <c r="B143" t="s" s="32">
        <v>67</v>
      </c>
      <c r="C143" t="s" s="25">
        <v>289</v>
      </c>
      <c r="D143" s="27">
        <v>0.01</v>
      </c>
      <c r="E143" s="28">
        <v>0</v>
      </c>
      <c r="F143" s="28">
        <v>0</v>
      </c>
      <c r="G143" s="27"/>
      <c r="H143" s="30"/>
      <c r="I143" s="30"/>
      <c r="J143" s="30"/>
      <c r="K143" s="30"/>
      <c r="L143" s="31"/>
      <c r="M143" s="30"/>
      <c r="N143" s="30"/>
      <c r="O143" s="30"/>
      <c r="P143" s="30"/>
      <c r="Q143" s="31"/>
    </row>
    <row r="144" ht="15.75" customHeight="1">
      <c r="A144" t="s" s="25">
        <v>269</v>
      </c>
      <c r="B144" t="s" s="35">
        <v>86</v>
      </c>
      <c r="C144" t="s" s="25">
        <v>290</v>
      </c>
      <c r="D144" s="27">
        <v>0.75</v>
      </c>
      <c r="E144" s="28">
        <v>0</v>
      </c>
      <c r="F144" s="28">
        <v>0</v>
      </c>
      <c r="G144" s="27">
        <v>0.012</v>
      </c>
      <c r="H144" s="30"/>
      <c r="I144" s="33">
        <v>1</v>
      </c>
      <c r="J144" s="33">
        <v>1</v>
      </c>
      <c r="K144" s="33">
        <v>1</v>
      </c>
      <c r="L144" t="s" s="34">
        <v>291</v>
      </c>
      <c r="M144" t="s" s="29">
        <v>64</v>
      </c>
      <c r="N144" s="30"/>
      <c r="O144" s="30"/>
      <c r="P144" s="30"/>
      <c r="Q144" t="s" s="34">
        <v>292</v>
      </c>
    </row>
    <row r="145" ht="15.75" customHeight="1">
      <c r="A145" t="s" s="25">
        <v>269</v>
      </c>
      <c r="B145" t="s" s="35">
        <v>86</v>
      </c>
      <c r="C145" t="s" s="25">
        <v>293</v>
      </c>
      <c r="D145" s="27">
        <v>0.75</v>
      </c>
      <c r="E145" s="28">
        <v>0</v>
      </c>
      <c r="F145" s="28">
        <v>0</v>
      </c>
      <c r="G145" s="27">
        <v>0.002</v>
      </c>
      <c r="H145" t="s" s="29">
        <v>64</v>
      </c>
      <c r="I145" s="30"/>
      <c r="J145" s="30"/>
      <c r="K145" s="30"/>
      <c r="L145" s="31"/>
      <c r="M145" s="30"/>
      <c r="N145" s="30"/>
      <c r="O145" s="30"/>
      <c r="P145" s="30"/>
      <c r="Q145" s="31"/>
    </row>
    <row r="146" ht="15.75" customHeight="1">
      <c r="A146" t="s" s="25">
        <v>269</v>
      </c>
      <c r="B146" t="s" s="35">
        <v>86</v>
      </c>
      <c r="C146" t="s" s="25">
        <v>294</v>
      </c>
      <c r="D146" s="27">
        <v>0.5</v>
      </c>
      <c r="E146" s="28">
        <v>0</v>
      </c>
      <c r="F146" s="28">
        <v>0</v>
      </c>
      <c r="G146" s="27">
        <v>0.002</v>
      </c>
      <c r="H146" s="30"/>
      <c r="I146" s="30"/>
      <c r="J146" s="30"/>
      <c r="K146" s="30"/>
      <c r="L146" s="31"/>
      <c r="M146" s="30"/>
      <c r="N146" s="30"/>
      <c r="O146" s="30"/>
      <c r="P146" s="30"/>
      <c r="Q146" s="31"/>
    </row>
    <row r="147" ht="15.75" customHeight="1">
      <c r="A147" t="s" s="25">
        <v>269</v>
      </c>
      <c r="B147" t="s" s="35">
        <v>86</v>
      </c>
      <c r="C147" t="s" s="25">
        <v>295</v>
      </c>
      <c r="D147" s="27">
        <v>0.5</v>
      </c>
      <c r="E147" s="28">
        <v>0</v>
      </c>
      <c r="F147" s="28">
        <v>0</v>
      </c>
      <c r="G147" s="27">
        <v>0.002</v>
      </c>
      <c r="H147" t="s" s="29">
        <v>64</v>
      </c>
      <c r="I147" s="30"/>
      <c r="J147" s="30"/>
      <c r="K147" s="30"/>
      <c r="L147" t="s" s="34">
        <v>296</v>
      </c>
      <c r="M147" s="30"/>
      <c r="N147" s="30"/>
      <c r="O147" s="30"/>
      <c r="P147" s="30"/>
      <c r="Q147" s="31"/>
    </row>
    <row r="148" ht="15.75" customHeight="1">
      <c r="A148" t="s" s="25">
        <v>269</v>
      </c>
      <c r="B148" t="s" s="35">
        <v>86</v>
      </c>
      <c r="C148" t="s" s="25">
        <v>297</v>
      </c>
      <c r="D148" s="27">
        <v>0.5</v>
      </c>
      <c r="E148" s="28">
        <v>5.76</v>
      </c>
      <c r="F148" s="28">
        <v>5.81</v>
      </c>
      <c r="G148" s="27">
        <v>0.002</v>
      </c>
      <c r="H148" s="30"/>
      <c r="I148" s="30"/>
      <c r="J148" s="30"/>
      <c r="K148" s="30"/>
      <c r="L148" t="s" s="34">
        <v>298</v>
      </c>
      <c r="M148" s="30"/>
      <c r="N148" s="30"/>
      <c r="O148" t="s" s="29">
        <v>64</v>
      </c>
      <c r="P148" s="30"/>
      <c r="Q148" t="s" s="34">
        <v>299</v>
      </c>
    </row>
    <row r="149" ht="15.75" customHeight="1">
      <c r="A149" t="s" s="25">
        <v>269</v>
      </c>
      <c r="B149" t="s" s="35">
        <v>86</v>
      </c>
      <c r="C149" t="s" s="25">
        <v>300</v>
      </c>
      <c r="D149" s="27">
        <v>0.25</v>
      </c>
      <c r="E149" s="28">
        <v>0</v>
      </c>
      <c r="F149" s="28">
        <v>0</v>
      </c>
      <c r="G149" s="27"/>
      <c r="H149" s="30"/>
      <c r="I149" s="30"/>
      <c r="J149" s="30"/>
      <c r="K149" s="30"/>
      <c r="L149" s="31"/>
      <c r="M149" s="30"/>
      <c r="N149" s="30"/>
      <c r="O149" s="30"/>
      <c r="P149" s="30"/>
      <c r="Q149" s="31"/>
    </row>
    <row r="150" ht="15.75" customHeight="1">
      <c r="A150" t="s" s="25">
        <v>269</v>
      </c>
      <c r="B150" t="s" s="35">
        <v>86</v>
      </c>
      <c r="C150" t="s" s="25">
        <v>301</v>
      </c>
      <c r="D150" s="27">
        <v>0.25</v>
      </c>
      <c r="E150" s="28">
        <v>0</v>
      </c>
      <c r="F150" s="28">
        <v>0</v>
      </c>
      <c r="G150" s="27">
        <v>0.002</v>
      </c>
      <c r="H150" s="30"/>
      <c r="I150" s="30"/>
      <c r="J150" s="30"/>
      <c r="K150" s="30"/>
      <c r="L150" s="31"/>
      <c r="M150" s="30"/>
      <c r="N150" s="30"/>
      <c r="O150" s="30"/>
      <c r="P150" s="30"/>
      <c r="Q150" s="31"/>
    </row>
    <row r="151" ht="15.75" customHeight="1">
      <c r="A151" t="s" s="25">
        <v>269</v>
      </c>
      <c r="B151" t="s" s="35">
        <v>86</v>
      </c>
      <c r="C151" t="s" s="25">
        <v>302</v>
      </c>
      <c r="D151" s="27">
        <v>0.25</v>
      </c>
      <c r="E151" s="28">
        <v>0</v>
      </c>
      <c r="F151" s="28">
        <v>0</v>
      </c>
      <c r="G151" s="27">
        <v>0.002</v>
      </c>
      <c r="H151" s="30"/>
      <c r="I151" s="30"/>
      <c r="J151" s="30"/>
      <c r="K151" s="30"/>
      <c r="L151" t="s" s="34">
        <v>303</v>
      </c>
      <c r="M151" s="30"/>
      <c r="N151" s="30"/>
      <c r="O151" s="30"/>
      <c r="P151" s="30"/>
      <c r="Q151" s="31"/>
    </row>
    <row r="152" ht="15.75" customHeight="1">
      <c r="A152" t="s" s="25">
        <v>269</v>
      </c>
      <c r="B152" t="s" s="35">
        <v>86</v>
      </c>
      <c r="C152" t="s" s="25">
        <v>304</v>
      </c>
      <c r="D152" s="27">
        <v>0.25</v>
      </c>
      <c r="E152" s="28">
        <v>5.98</v>
      </c>
      <c r="F152" s="28">
        <v>5.91</v>
      </c>
      <c r="G152" s="27">
        <v>0.002</v>
      </c>
      <c r="H152" t="s" s="29">
        <v>64</v>
      </c>
      <c r="I152" s="30"/>
      <c r="J152" s="30"/>
      <c r="K152" s="30"/>
      <c r="L152" t="s" s="34">
        <v>305</v>
      </c>
      <c r="M152" s="30"/>
      <c r="N152" s="30"/>
      <c r="O152" s="30"/>
      <c r="P152" s="30"/>
      <c r="Q152" s="31"/>
    </row>
    <row r="153" ht="15.75" customHeight="1">
      <c r="A153" t="s" s="25">
        <v>269</v>
      </c>
      <c r="B153" t="s" s="35">
        <v>86</v>
      </c>
      <c r="C153" t="s" s="25">
        <v>306</v>
      </c>
      <c r="D153" s="27">
        <v>0.01</v>
      </c>
      <c r="E153" s="28">
        <v>0</v>
      </c>
      <c r="F153" s="28">
        <v>0</v>
      </c>
      <c r="G153" s="27">
        <v>0.002</v>
      </c>
      <c r="H153" s="30"/>
      <c r="I153" s="30"/>
      <c r="J153" s="30"/>
      <c r="K153" s="30"/>
      <c r="L153" s="31"/>
      <c r="M153" s="30"/>
      <c r="N153" s="30"/>
      <c r="O153" s="30"/>
      <c r="P153" s="30"/>
      <c r="Q153" s="31"/>
    </row>
    <row r="154" ht="15.75" customHeight="1">
      <c r="A154" t="s" s="25">
        <v>269</v>
      </c>
      <c r="B154" t="s" s="35">
        <v>86</v>
      </c>
      <c r="C154" t="s" s="25">
        <v>307</v>
      </c>
      <c r="D154" s="27">
        <v>0.01</v>
      </c>
      <c r="E154" s="28">
        <v>5.5</v>
      </c>
      <c r="F154" s="28">
        <v>5.5</v>
      </c>
      <c r="G154" s="27">
        <v>0.002</v>
      </c>
      <c r="H154" s="30"/>
      <c r="I154" s="30"/>
      <c r="J154" s="30"/>
      <c r="K154" s="30"/>
      <c r="L154" s="31"/>
      <c r="M154" s="30"/>
      <c r="N154" s="30"/>
      <c r="O154" s="30"/>
      <c r="P154" t="s" s="29">
        <v>64</v>
      </c>
      <c r="Q154" t="s" s="34">
        <v>308</v>
      </c>
    </row>
    <row r="155" ht="15.75" customHeight="1">
      <c r="A155" t="s" s="25">
        <v>269</v>
      </c>
      <c r="B155" t="s" s="35">
        <v>86</v>
      </c>
      <c r="C155" t="s" s="25">
        <v>309</v>
      </c>
      <c r="D155" s="27">
        <v>0.01</v>
      </c>
      <c r="E155" s="28">
        <v>0</v>
      </c>
      <c r="F155" s="28">
        <v>0</v>
      </c>
      <c r="G155" s="27">
        <v>0.001</v>
      </c>
      <c r="H155" s="30"/>
      <c r="I155" s="30"/>
      <c r="J155" s="30"/>
      <c r="K155" s="30"/>
      <c r="L155" s="31"/>
      <c r="M155" s="30"/>
      <c r="N155" s="30"/>
      <c r="O155" s="30"/>
      <c r="P155" s="30"/>
      <c r="Q155" s="31"/>
    </row>
    <row r="156" ht="15.75" customHeight="1">
      <c r="A156" t="s" s="25">
        <v>269</v>
      </c>
      <c r="B156" t="s" s="36">
        <v>100</v>
      </c>
      <c r="C156" t="s" s="25">
        <v>310</v>
      </c>
      <c r="D156" s="27">
        <v>0.95</v>
      </c>
      <c r="E156" s="28">
        <v>0</v>
      </c>
      <c r="F156" s="28">
        <v>0</v>
      </c>
      <c r="G156" s="27">
        <v>0.002</v>
      </c>
      <c r="H156" t="s" s="29">
        <v>64</v>
      </c>
      <c r="I156" s="33">
        <v>2</v>
      </c>
      <c r="J156" s="33">
        <v>2</v>
      </c>
      <c r="K156" s="33">
        <v>3</v>
      </c>
      <c r="L156" s="31"/>
      <c r="M156" t="s" s="29">
        <v>64</v>
      </c>
      <c r="N156" s="30"/>
      <c r="O156" s="30"/>
      <c r="P156" s="30"/>
      <c r="Q156" t="s" s="34">
        <v>311</v>
      </c>
    </row>
    <row r="157" ht="15.75" customHeight="1">
      <c r="A157" t="s" s="25">
        <v>269</v>
      </c>
      <c r="B157" t="s" s="36">
        <v>100</v>
      </c>
      <c r="C157" t="s" s="25">
        <v>312</v>
      </c>
      <c r="D157" s="27">
        <v>0.75</v>
      </c>
      <c r="E157" s="28">
        <v>0</v>
      </c>
      <c r="F157" s="28">
        <v>0</v>
      </c>
      <c r="G157" s="27">
        <v>0.002</v>
      </c>
      <c r="H157" t="s" s="29">
        <v>64</v>
      </c>
      <c r="I157" s="30"/>
      <c r="J157" s="30"/>
      <c r="K157" s="30"/>
      <c r="L157" s="31"/>
      <c r="M157" s="30"/>
      <c r="N157" s="30"/>
      <c r="O157" s="30"/>
      <c r="P157" s="30"/>
      <c r="Q157" s="31"/>
    </row>
    <row r="158" ht="15.75" customHeight="1">
      <c r="A158" t="s" s="25">
        <v>269</v>
      </c>
      <c r="B158" t="s" s="36">
        <v>100</v>
      </c>
      <c r="C158" t="s" s="25">
        <v>313</v>
      </c>
      <c r="D158" s="27">
        <v>0.5</v>
      </c>
      <c r="E158" s="28">
        <v>0</v>
      </c>
      <c r="F158" s="28">
        <v>0</v>
      </c>
      <c r="G158" s="27">
        <v>0.002</v>
      </c>
      <c r="H158" t="s" s="29">
        <v>64</v>
      </c>
      <c r="I158" s="33">
        <v>3</v>
      </c>
      <c r="J158" s="30"/>
      <c r="K158" s="33">
        <v>2</v>
      </c>
      <c r="L158" t="s" s="34">
        <v>314</v>
      </c>
      <c r="M158" s="30"/>
      <c r="N158" s="30"/>
      <c r="O158" s="30"/>
      <c r="P158" s="30"/>
      <c r="Q158" s="31"/>
    </row>
    <row r="159" ht="15.75" customHeight="1">
      <c r="A159" t="s" s="25">
        <v>315</v>
      </c>
      <c r="B159" t="s" s="26">
        <v>62</v>
      </c>
      <c r="C159" t="s" s="25">
        <v>316</v>
      </c>
      <c r="D159" s="27">
        <v>0.75</v>
      </c>
      <c r="E159" s="28">
        <v>6.06</v>
      </c>
      <c r="F159" s="28">
        <v>4.78</v>
      </c>
      <c r="G159" s="27">
        <v>0.006</v>
      </c>
      <c r="H159" t="s" s="29">
        <v>64</v>
      </c>
      <c r="I159" s="30"/>
      <c r="J159" s="30"/>
      <c r="K159" s="30"/>
      <c r="L159" s="31"/>
      <c r="M159" s="30"/>
      <c r="N159" s="30"/>
      <c r="O159" s="30"/>
      <c r="P159" s="30"/>
      <c r="Q159" s="31"/>
    </row>
    <row r="160" ht="15.75" customHeight="1">
      <c r="A160" t="s" s="25">
        <v>315</v>
      </c>
      <c r="B160" t="s" s="26">
        <v>62</v>
      </c>
      <c r="C160" t="s" s="25">
        <v>317</v>
      </c>
      <c r="D160" s="27">
        <v>0.01</v>
      </c>
      <c r="E160" s="28">
        <v>5.75</v>
      </c>
      <c r="F160" s="28">
        <v>3.75</v>
      </c>
      <c r="G160" s="27">
        <v>0.002</v>
      </c>
      <c r="H160" s="30"/>
      <c r="I160" s="30"/>
      <c r="J160" s="30"/>
      <c r="K160" s="30"/>
      <c r="L160" s="31"/>
      <c r="M160" s="30"/>
      <c r="N160" s="30"/>
      <c r="O160" s="30"/>
      <c r="P160" s="30"/>
      <c r="Q160" s="31"/>
    </row>
    <row r="161" ht="15.75" customHeight="1">
      <c r="A161" t="s" s="25">
        <v>315</v>
      </c>
      <c r="B161" t="s" s="26">
        <v>62</v>
      </c>
      <c r="C161" t="s" s="25">
        <v>318</v>
      </c>
      <c r="D161" s="27">
        <v>0.01</v>
      </c>
      <c r="E161" s="28">
        <v>0</v>
      </c>
      <c r="F161" s="28">
        <v>0</v>
      </c>
      <c r="G161" s="27">
        <v>0.002</v>
      </c>
      <c r="H161" s="30"/>
      <c r="I161" s="30"/>
      <c r="J161" s="30"/>
      <c r="K161" s="30"/>
      <c r="L161" s="31"/>
      <c r="M161" s="30"/>
      <c r="N161" s="30"/>
      <c r="O161" s="30"/>
      <c r="P161" s="30"/>
      <c r="Q161" s="31"/>
    </row>
    <row r="162" ht="15.75" customHeight="1">
      <c r="A162" t="s" s="25">
        <v>315</v>
      </c>
      <c r="B162" t="s" s="32">
        <v>67</v>
      </c>
      <c r="C162" t="s" s="25">
        <v>319</v>
      </c>
      <c r="D162" s="27">
        <v>0.95</v>
      </c>
      <c r="E162" s="28">
        <v>5.87</v>
      </c>
      <c r="F162" s="28">
        <v>5.84</v>
      </c>
      <c r="G162" s="27">
        <v>0.002</v>
      </c>
      <c r="H162" t="s" s="29">
        <v>64</v>
      </c>
      <c r="I162" s="30"/>
      <c r="J162" s="30"/>
      <c r="K162" s="30"/>
      <c r="L162" s="31"/>
      <c r="M162" s="30"/>
      <c r="N162" s="30"/>
      <c r="O162" t="s" s="29">
        <v>64</v>
      </c>
      <c r="P162" s="30"/>
      <c r="Q162" t="s" s="34">
        <v>320</v>
      </c>
    </row>
    <row r="163" ht="15.75" customHeight="1">
      <c r="A163" t="s" s="25">
        <v>315</v>
      </c>
      <c r="B163" t="s" s="32">
        <v>67</v>
      </c>
      <c r="C163" t="s" s="25">
        <v>321</v>
      </c>
      <c r="D163" s="27">
        <v>0.95</v>
      </c>
      <c r="E163" s="28">
        <v>5.93</v>
      </c>
      <c r="F163" s="28">
        <v>6.1</v>
      </c>
      <c r="G163" s="27">
        <v>0.014</v>
      </c>
      <c r="H163" t="s" s="29">
        <v>64</v>
      </c>
      <c r="I163" s="30"/>
      <c r="J163" s="30"/>
      <c r="K163" s="30"/>
      <c r="L163" s="31"/>
      <c r="M163" s="30"/>
      <c r="N163" s="30"/>
      <c r="O163" s="30"/>
      <c r="P163" s="30"/>
      <c r="Q163" s="31"/>
    </row>
    <row r="164" ht="15.75" customHeight="1">
      <c r="A164" t="s" s="25">
        <v>315</v>
      </c>
      <c r="B164" t="s" s="32">
        <v>67</v>
      </c>
      <c r="C164" t="s" s="25">
        <v>322</v>
      </c>
      <c r="D164" s="27">
        <v>0.95</v>
      </c>
      <c r="E164" s="28">
        <v>6.13</v>
      </c>
      <c r="F164" s="28">
        <v>6.51</v>
      </c>
      <c r="G164" s="27">
        <v>0.026</v>
      </c>
      <c r="H164" t="s" s="29">
        <v>64</v>
      </c>
      <c r="I164" s="33">
        <v>2</v>
      </c>
      <c r="J164" s="30"/>
      <c r="K164" s="30"/>
      <c r="L164" s="31"/>
      <c r="M164" t="s" s="29">
        <v>64</v>
      </c>
      <c r="N164" s="30"/>
      <c r="O164" s="30"/>
      <c r="P164" s="30"/>
      <c r="Q164" t="s" s="34">
        <v>323</v>
      </c>
    </row>
    <row r="165" ht="15.75" customHeight="1">
      <c r="A165" t="s" s="25">
        <v>315</v>
      </c>
      <c r="B165" t="s" s="32">
        <v>67</v>
      </c>
      <c r="C165" t="s" s="25">
        <v>324</v>
      </c>
      <c r="D165" s="27">
        <v>0.95</v>
      </c>
      <c r="E165" s="28">
        <v>6.08</v>
      </c>
      <c r="F165" s="28">
        <v>6.14</v>
      </c>
      <c r="G165" s="27">
        <v>0.008</v>
      </c>
      <c r="H165" t="s" s="29">
        <v>64</v>
      </c>
      <c r="I165" s="30"/>
      <c r="J165" s="30"/>
      <c r="K165" s="30"/>
      <c r="L165" s="31"/>
      <c r="M165" s="30"/>
      <c r="N165" s="30"/>
      <c r="O165" s="30"/>
      <c r="P165" s="30"/>
      <c r="Q165" s="31"/>
    </row>
    <row r="166" ht="15.75" customHeight="1">
      <c r="A166" t="s" s="25">
        <v>315</v>
      </c>
      <c r="B166" t="s" s="32">
        <v>67</v>
      </c>
      <c r="C166" t="s" s="25">
        <v>325</v>
      </c>
      <c r="D166" s="27">
        <v>0.5</v>
      </c>
      <c r="E166" s="28">
        <v>0</v>
      </c>
      <c r="F166" s="28">
        <v>0</v>
      </c>
      <c r="G166" s="27">
        <v>0.002</v>
      </c>
      <c r="H166" t="s" s="29">
        <v>64</v>
      </c>
      <c r="I166" s="30"/>
      <c r="J166" s="30"/>
      <c r="K166" s="33">
        <v>1</v>
      </c>
      <c r="L166" t="s" s="34">
        <v>326</v>
      </c>
      <c r="M166" s="30"/>
      <c r="N166" s="30"/>
      <c r="O166" s="30"/>
      <c r="P166" s="30"/>
      <c r="Q166" s="31"/>
    </row>
    <row r="167" ht="15.75" customHeight="1">
      <c r="A167" t="s" s="25">
        <v>315</v>
      </c>
      <c r="B167" t="s" s="32">
        <v>67</v>
      </c>
      <c r="C167" t="s" s="25">
        <v>327</v>
      </c>
      <c r="D167" s="27">
        <v>0.25</v>
      </c>
      <c r="E167" s="28">
        <v>5.97</v>
      </c>
      <c r="F167" s="28">
        <v>6.11</v>
      </c>
      <c r="G167" s="27">
        <v>0.002</v>
      </c>
      <c r="H167" s="30"/>
      <c r="I167" s="30"/>
      <c r="J167" s="30"/>
      <c r="K167" s="30"/>
      <c r="L167" s="31"/>
      <c r="M167" s="30"/>
      <c r="N167" t="s" s="29">
        <v>64</v>
      </c>
      <c r="O167" s="30"/>
      <c r="P167" s="30"/>
      <c r="Q167" t="s" s="34">
        <v>328</v>
      </c>
    </row>
    <row r="168" ht="15.75" customHeight="1">
      <c r="A168" t="s" s="25">
        <v>315</v>
      </c>
      <c r="B168" t="s" s="32">
        <v>67</v>
      </c>
      <c r="C168" t="s" s="25">
        <v>329</v>
      </c>
      <c r="D168" s="27">
        <v>0.25</v>
      </c>
      <c r="E168" s="28">
        <v>5.6</v>
      </c>
      <c r="F168" s="28">
        <v>5.35</v>
      </c>
      <c r="G168" s="27">
        <v>0.002</v>
      </c>
      <c r="H168" s="30"/>
      <c r="I168" s="30"/>
      <c r="J168" s="30"/>
      <c r="K168" s="30"/>
      <c r="L168" s="31"/>
      <c r="M168" s="30"/>
      <c r="N168" s="30"/>
      <c r="O168" s="30"/>
      <c r="P168" s="30"/>
      <c r="Q168" s="31"/>
    </row>
    <row r="169" ht="15.75" customHeight="1">
      <c r="A169" t="s" s="25">
        <v>315</v>
      </c>
      <c r="B169" t="s" s="32">
        <v>67</v>
      </c>
      <c r="C169" t="s" s="25">
        <v>330</v>
      </c>
      <c r="D169" s="27">
        <v>0.25</v>
      </c>
      <c r="E169" s="28">
        <v>0</v>
      </c>
      <c r="F169" s="28">
        <v>0</v>
      </c>
      <c r="G169" s="27">
        <v>0.002</v>
      </c>
      <c r="H169" s="30"/>
      <c r="I169" s="30"/>
      <c r="J169" s="30"/>
      <c r="K169" s="30"/>
      <c r="L169" s="31"/>
      <c r="M169" s="30"/>
      <c r="N169" s="30"/>
      <c r="O169" s="30"/>
      <c r="P169" t="s" s="29">
        <v>64</v>
      </c>
      <c r="Q169" t="s" s="34">
        <v>331</v>
      </c>
    </row>
    <row r="170" ht="15.75" customHeight="1">
      <c r="A170" t="s" s="25">
        <v>315</v>
      </c>
      <c r="B170" t="s" s="32">
        <v>67</v>
      </c>
      <c r="C170" t="s" s="25">
        <v>332</v>
      </c>
      <c r="D170" s="27">
        <v>0.25</v>
      </c>
      <c r="E170" s="28">
        <v>5.81</v>
      </c>
      <c r="F170" s="28">
        <v>5.66</v>
      </c>
      <c r="G170" s="27">
        <v>0.002</v>
      </c>
      <c r="H170" s="30"/>
      <c r="I170" s="30"/>
      <c r="J170" s="30"/>
      <c r="K170" s="30"/>
      <c r="L170" s="31"/>
      <c r="M170" s="30"/>
      <c r="N170" s="30"/>
      <c r="O170" s="30"/>
      <c r="P170" s="30"/>
      <c r="Q170" s="31"/>
    </row>
    <row r="171" ht="15.75" customHeight="1">
      <c r="A171" t="s" s="25">
        <v>315</v>
      </c>
      <c r="B171" t="s" s="32">
        <v>67</v>
      </c>
      <c r="C171" t="s" s="25">
        <v>333</v>
      </c>
      <c r="D171" s="27">
        <v>0.01</v>
      </c>
      <c r="E171" s="28">
        <v>0</v>
      </c>
      <c r="F171" s="28">
        <v>0</v>
      </c>
      <c r="G171" s="27"/>
      <c r="H171" s="30"/>
      <c r="I171" s="30"/>
      <c r="J171" s="30"/>
      <c r="K171" s="30"/>
      <c r="L171" s="31"/>
      <c r="M171" s="30"/>
      <c r="N171" s="30"/>
      <c r="O171" s="30"/>
      <c r="P171" s="30"/>
      <c r="Q171" s="31"/>
    </row>
    <row r="172" ht="15.75" customHeight="1">
      <c r="A172" t="s" s="25">
        <v>315</v>
      </c>
      <c r="B172" t="s" s="35">
        <v>86</v>
      </c>
      <c r="C172" t="s" s="25">
        <v>334</v>
      </c>
      <c r="D172" s="27">
        <v>0.95</v>
      </c>
      <c r="E172" s="28">
        <v>5.96</v>
      </c>
      <c r="F172" s="28">
        <v>5.97</v>
      </c>
      <c r="G172" s="27">
        <v>0.002</v>
      </c>
      <c r="H172" t="s" s="29">
        <v>64</v>
      </c>
      <c r="I172" s="30"/>
      <c r="J172" s="30"/>
      <c r="K172" s="30"/>
      <c r="L172" s="31"/>
      <c r="M172" s="30"/>
      <c r="N172" s="30"/>
      <c r="O172" s="30"/>
      <c r="P172" s="30"/>
      <c r="Q172" s="31"/>
    </row>
    <row r="173" ht="15.75" customHeight="1">
      <c r="A173" t="s" s="25">
        <v>315</v>
      </c>
      <c r="B173" t="s" s="35">
        <v>86</v>
      </c>
      <c r="C173" t="s" s="25">
        <v>335</v>
      </c>
      <c r="D173" s="27">
        <v>0.75</v>
      </c>
      <c r="E173" s="28">
        <v>0</v>
      </c>
      <c r="F173" s="28">
        <v>0</v>
      </c>
      <c r="G173" s="27">
        <v>0.002</v>
      </c>
      <c r="H173" t="s" s="29">
        <v>64</v>
      </c>
      <c r="I173" s="30"/>
      <c r="J173" s="30"/>
      <c r="K173" s="30"/>
      <c r="L173" s="31"/>
      <c r="M173" s="30"/>
      <c r="N173" s="30"/>
      <c r="O173" s="30"/>
      <c r="P173" s="30"/>
      <c r="Q173" s="31"/>
    </row>
    <row r="174" ht="15.75" customHeight="1">
      <c r="A174" t="s" s="25">
        <v>315</v>
      </c>
      <c r="B174" t="s" s="35">
        <v>86</v>
      </c>
      <c r="C174" t="s" s="25">
        <v>336</v>
      </c>
      <c r="D174" s="27">
        <v>0.5</v>
      </c>
      <c r="E174" s="28">
        <v>5.72</v>
      </c>
      <c r="F174" s="28">
        <v>5.66</v>
      </c>
      <c r="G174" s="27">
        <v>0.002</v>
      </c>
      <c r="H174" s="30"/>
      <c r="I174" s="30"/>
      <c r="J174" s="30"/>
      <c r="K174" s="30"/>
      <c r="L174" s="31"/>
      <c r="M174" s="30"/>
      <c r="N174" s="30"/>
      <c r="O174" s="30"/>
      <c r="P174" s="30"/>
      <c r="Q174" s="31"/>
    </row>
    <row r="175" ht="15.75" customHeight="1">
      <c r="A175" t="s" s="25">
        <v>315</v>
      </c>
      <c r="B175" t="s" s="35">
        <v>86</v>
      </c>
      <c r="C175" t="s" s="25">
        <v>337</v>
      </c>
      <c r="D175" s="27">
        <v>0.5</v>
      </c>
      <c r="E175" s="28">
        <v>6.15</v>
      </c>
      <c r="F175" s="28">
        <v>6.39</v>
      </c>
      <c r="G175" s="27">
        <v>0.01</v>
      </c>
      <c r="H175" t="s" s="29">
        <v>64</v>
      </c>
      <c r="I175" s="30"/>
      <c r="J175" s="33">
        <v>1</v>
      </c>
      <c r="K175" s="33">
        <v>2</v>
      </c>
      <c r="L175" t="s" s="34">
        <v>338</v>
      </c>
      <c r="M175" t="s" s="29">
        <v>64</v>
      </c>
      <c r="N175" s="30"/>
      <c r="O175" s="30"/>
      <c r="P175" s="30"/>
      <c r="Q175" t="s" s="34">
        <v>339</v>
      </c>
    </row>
    <row r="176" ht="15.75" customHeight="1">
      <c r="A176" t="s" s="25">
        <v>315</v>
      </c>
      <c r="B176" t="s" s="35">
        <v>86</v>
      </c>
      <c r="C176" t="s" s="25">
        <v>340</v>
      </c>
      <c r="D176" s="27">
        <v>0.5</v>
      </c>
      <c r="E176" s="28">
        <v>5.84</v>
      </c>
      <c r="F176" s="28">
        <v>5.91</v>
      </c>
      <c r="G176" s="27">
        <v>0.002</v>
      </c>
      <c r="H176" s="30"/>
      <c r="I176" s="30"/>
      <c r="J176" s="30"/>
      <c r="K176" s="30"/>
      <c r="L176" t="s" s="34">
        <v>341</v>
      </c>
      <c r="M176" s="30"/>
      <c r="N176" s="30"/>
      <c r="O176" s="30"/>
      <c r="P176" s="30"/>
      <c r="Q176" s="31"/>
    </row>
    <row r="177" ht="15.75" customHeight="1">
      <c r="A177" t="s" s="25">
        <v>315</v>
      </c>
      <c r="B177" t="s" s="35">
        <v>86</v>
      </c>
      <c r="C177" t="s" s="25">
        <v>342</v>
      </c>
      <c r="D177" s="27">
        <v>0.5</v>
      </c>
      <c r="E177" s="28">
        <v>0</v>
      </c>
      <c r="F177" s="28">
        <v>0</v>
      </c>
      <c r="G177" s="27">
        <v>0.002</v>
      </c>
      <c r="H177" s="30"/>
      <c r="I177" s="30"/>
      <c r="J177" s="30"/>
      <c r="K177" s="30"/>
      <c r="L177" t="s" s="34">
        <v>343</v>
      </c>
      <c r="M177" s="30"/>
      <c r="N177" s="30"/>
      <c r="O177" s="30"/>
      <c r="P177" s="30"/>
      <c r="Q177" s="31"/>
    </row>
    <row r="178" ht="15.75" customHeight="1">
      <c r="A178" t="s" s="25">
        <v>315</v>
      </c>
      <c r="B178" t="s" s="35">
        <v>86</v>
      </c>
      <c r="C178" t="s" s="25">
        <v>344</v>
      </c>
      <c r="D178" s="27">
        <v>0.5</v>
      </c>
      <c r="E178" s="28">
        <v>0</v>
      </c>
      <c r="F178" s="28">
        <v>0</v>
      </c>
      <c r="G178" s="27">
        <v>0.002</v>
      </c>
      <c r="H178" s="30"/>
      <c r="I178" s="30"/>
      <c r="J178" s="30"/>
      <c r="K178" s="30"/>
      <c r="L178" t="s" s="34">
        <v>345</v>
      </c>
      <c r="M178" s="30"/>
      <c r="N178" s="30"/>
      <c r="O178" s="30"/>
      <c r="P178" s="30"/>
      <c r="Q178" s="31"/>
    </row>
    <row r="179" ht="15.75" customHeight="1">
      <c r="A179" t="s" s="25">
        <v>315</v>
      </c>
      <c r="B179" t="s" s="35">
        <v>86</v>
      </c>
      <c r="C179" t="s" s="25">
        <v>346</v>
      </c>
      <c r="D179" s="27">
        <v>0.25</v>
      </c>
      <c r="E179" s="28">
        <v>6.18</v>
      </c>
      <c r="F179" s="28">
        <v>6.68</v>
      </c>
      <c r="G179" s="27">
        <v>0.002</v>
      </c>
      <c r="H179" s="30"/>
      <c r="I179" s="30"/>
      <c r="J179" s="33">
        <v>2</v>
      </c>
      <c r="K179" s="33">
        <v>3</v>
      </c>
      <c r="L179" s="31"/>
      <c r="M179" s="30"/>
      <c r="N179" s="30"/>
      <c r="O179" s="30"/>
      <c r="P179" s="30"/>
      <c r="Q179" s="31"/>
    </row>
    <row r="180" ht="15.75" customHeight="1">
      <c r="A180" t="s" s="25">
        <v>315</v>
      </c>
      <c r="B180" t="s" s="35">
        <v>86</v>
      </c>
      <c r="C180" t="s" s="25">
        <v>347</v>
      </c>
      <c r="D180" s="27">
        <v>0.25</v>
      </c>
      <c r="E180" s="28">
        <v>5.86</v>
      </c>
      <c r="F180" s="28">
        <v>5.86</v>
      </c>
      <c r="G180" s="27">
        <v>0.002</v>
      </c>
      <c r="H180" s="30"/>
      <c r="I180" s="30"/>
      <c r="J180" s="30"/>
      <c r="K180" s="30"/>
      <c r="L180" s="31"/>
      <c r="M180" s="30"/>
      <c r="N180" s="30"/>
      <c r="O180" s="30"/>
      <c r="P180" s="30"/>
      <c r="Q180" s="31"/>
    </row>
    <row r="181" ht="15.75" customHeight="1">
      <c r="A181" t="s" s="25">
        <v>315</v>
      </c>
      <c r="B181" t="s" s="36">
        <v>100</v>
      </c>
      <c r="C181" t="s" s="25">
        <v>348</v>
      </c>
      <c r="D181" s="27">
        <v>0.95</v>
      </c>
      <c r="E181" s="28">
        <v>5.92</v>
      </c>
      <c r="F181" s="28">
        <v>6.41</v>
      </c>
      <c r="G181" s="27">
        <v>0.046</v>
      </c>
      <c r="H181" t="s" s="29">
        <v>64</v>
      </c>
      <c r="I181" s="33">
        <v>1</v>
      </c>
      <c r="J181" s="30"/>
      <c r="K181" s="30"/>
      <c r="L181" s="31"/>
      <c r="M181" s="30"/>
      <c r="N181" s="30"/>
      <c r="O181" s="30"/>
      <c r="P181" s="30"/>
      <c r="Q181" s="31"/>
    </row>
    <row r="182" ht="15.75" customHeight="1">
      <c r="A182" t="s" s="25">
        <v>315</v>
      </c>
      <c r="B182" t="s" s="36">
        <v>100</v>
      </c>
      <c r="C182" t="s" s="25">
        <v>349</v>
      </c>
      <c r="D182" s="27">
        <v>0.95</v>
      </c>
      <c r="E182" s="28">
        <v>5.95</v>
      </c>
      <c r="F182" s="28">
        <v>6.39</v>
      </c>
      <c r="G182" s="27">
        <v>0.003</v>
      </c>
      <c r="H182" t="s" s="29">
        <v>64</v>
      </c>
      <c r="I182" s="33">
        <v>3</v>
      </c>
      <c r="J182" s="30"/>
      <c r="K182" s="30"/>
      <c r="L182" t="s" s="34">
        <v>350</v>
      </c>
      <c r="M182" s="30"/>
      <c r="N182" s="30"/>
      <c r="O182" s="30"/>
      <c r="P182" s="30"/>
      <c r="Q182" s="31"/>
    </row>
    <row r="183" ht="15.75" customHeight="1">
      <c r="A183" t="s" s="25">
        <v>315</v>
      </c>
      <c r="B183" t="s" s="36">
        <v>100</v>
      </c>
      <c r="C183" t="s" s="25">
        <v>351</v>
      </c>
      <c r="D183" s="27">
        <v>0.25</v>
      </c>
      <c r="E183" s="28">
        <v>0</v>
      </c>
      <c r="F183" s="28">
        <v>0</v>
      </c>
      <c r="G183" s="27">
        <v>0.002</v>
      </c>
      <c r="H183" s="30"/>
      <c r="I183" s="30"/>
      <c r="J183" s="30"/>
      <c r="K183" s="30"/>
      <c r="L183" s="31"/>
      <c r="M183" s="30"/>
      <c r="N183" s="30"/>
      <c r="O183" s="30"/>
      <c r="P183" s="30"/>
      <c r="Q183" s="31"/>
    </row>
    <row r="184" ht="15.75" customHeight="1">
      <c r="A184" t="s" s="25">
        <v>352</v>
      </c>
      <c r="B184" t="s" s="26">
        <v>62</v>
      </c>
      <c r="C184" t="s" s="25">
        <v>353</v>
      </c>
      <c r="D184" s="27">
        <v>0.5</v>
      </c>
      <c r="E184" s="28">
        <v>6</v>
      </c>
      <c r="F184" s="28">
        <v>5.2</v>
      </c>
      <c r="G184" s="27">
        <v>0.064</v>
      </c>
      <c r="H184" t="s" s="29">
        <v>64</v>
      </c>
      <c r="I184" s="30"/>
      <c r="J184" s="30"/>
      <c r="K184" s="30"/>
      <c r="L184" t="s" s="34">
        <v>354</v>
      </c>
      <c r="M184" s="30"/>
      <c r="N184" s="30"/>
      <c r="O184" s="30"/>
      <c r="P184" s="30"/>
      <c r="Q184" s="31"/>
    </row>
    <row r="185" ht="15.75" customHeight="1">
      <c r="A185" t="s" s="25">
        <v>352</v>
      </c>
      <c r="B185" t="s" s="26">
        <v>62</v>
      </c>
      <c r="C185" t="s" s="25">
        <v>355</v>
      </c>
      <c r="D185" s="27">
        <v>0.5</v>
      </c>
      <c r="E185" s="28">
        <v>6.26</v>
      </c>
      <c r="F185" s="28">
        <v>5.35</v>
      </c>
      <c r="G185" s="27">
        <v>0.013</v>
      </c>
      <c r="H185" s="30"/>
      <c r="I185" s="30"/>
      <c r="J185" s="30"/>
      <c r="K185" s="30"/>
      <c r="L185" t="s" s="34">
        <v>356</v>
      </c>
      <c r="M185" s="30"/>
      <c r="N185" s="30"/>
      <c r="O185" s="30"/>
      <c r="P185" s="30"/>
      <c r="Q185" s="31"/>
    </row>
    <row r="186" ht="15.75" customHeight="1">
      <c r="A186" t="s" s="25">
        <v>352</v>
      </c>
      <c r="B186" t="s" s="26">
        <v>62</v>
      </c>
      <c r="C186" t="s" s="25">
        <v>357</v>
      </c>
      <c r="D186" s="27">
        <v>0.01</v>
      </c>
      <c r="E186" s="28">
        <v>6</v>
      </c>
      <c r="F186" s="28">
        <v>5</v>
      </c>
      <c r="G186" s="27">
        <v>0.002</v>
      </c>
      <c r="H186" s="30"/>
      <c r="I186" s="30"/>
      <c r="J186" s="30"/>
      <c r="K186" s="30"/>
      <c r="L186" s="31"/>
      <c r="M186" s="30"/>
      <c r="N186" s="30"/>
      <c r="O186" s="30"/>
      <c r="P186" s="30"/>
      <c r="Q186" s="31"/>
    </row>
    <row r="187" ht="15.75" customHeight="1">
      <c r="A187" t="s" s="25">
        <v>352</v>
      </c>
      <c r="B187" t="s" s="32">
        <v>67</v>
      </c>
      <c r="C187" t="s" s="25">
        <v>358</v>
      </c>
      <c r="D187" s="27">
        <v>0.95</v>
      </c>
      <c r="E187" s="28">
        <v>6.28</v>
      </c>
      <c r="F187" s="28">
        <v>6.41</v>
      </c>
      <c r="G187" s="27">
        <v>0.04</v>
      </c>
      <c r="H187" t="s" s="29">
        <v>64</v>
      </c>
      <c r="I187" s="30"/>
      <c r="J187" s="30"/>
      <c r="K187" s="30"/>
      <c r="L187" s="31"/>
      <c r="M187" s="30"/>
      <c r="N187" s="30"/>
      <c r="O187" s="30"/>
      <c r="P187" s="30"/>
      <c r="Q187" s="31"/>
    </row>
    <row r="188" ht="15.75" customHeight="1">
      <c r="A188" t="s" s="25">
        <v>352</v>
      </c>
      <c r="B188" t="s" s="32">
        <v>67</v>
      </c>
      <c r="C188" t="s" s="25">
        <v>359</v>
      </c>
      <c r="D188" s="27">
        <v>0.95</v>
      </c>
      <c r="E188" s="28">
        <v>6.2</v>
      </c>
      <c r="F188" s="28">
        <v>6.34</v>
      </c>
      <c r="G188" s="27">
        <v>0.042</v>
      </c>
      <c r="H188" t="s" s="29">
        <v>64</v>
      </c>
      <c r="I188" s="30"/>
      <c r="J188" s="30"/>
      <c r="K188" s="30"/>
      <c r="L188" s="31"/>
      <c r="M188" s="30"/>
      <c r="N188" s="30"/>
      <c r="O188" s="30"/>
      <c r="P188" s="30"/>
      <c r="Q188" s="31"/>
    </row>
    <row r="189" ht="15.75" customHeight="1">
      <c r="A189" t="s" s="25">
        <v>352</v>
      </c>
      <c r="B189" t="s" s="32">
        <v>67</v>
      </c>
      <c r="C189" t="s" s="25">
        <v>360</v>
      </c>
      <c r="D189" s="27">
        <v>0.95</v>
      </c>
      <c r="E189" s="28">
        <v>6.6</v>
      </c>
      <c r="F189" s="28">
        <v>7.64</v>
      </c>
      <c r="G189" s="27">
        <v>0.126</v>
      </c>
      <c r="H189" t="s" s="29">
        <v>64</v>
      </c>
      <c r="I189" s="30"/>
      <c r="J189" s="33">
        <v>1</v>
      </c>
      <c r="K189" s="33">
        <v>2</v>
      </c>
      <c r="L189" s="31"/>
      <c r="M189" t="s" s="29">
        <v>64</v>
      </c>
      <c r="N189" s="30"/>
      <c r="O189" s="30"/>
      <c r="P189" s="30"/>
      <c r="Q189" t="s" s="34">
        <v>361</v>
      </c>
    </row>
    <row r="190" ht="15.75" customHeight="1">
      <c r="A190" t="s" s="25">
        <v>352</v>
      </c>
      <c r="B190" t="s" s="32">
        <v>67</v>
      </c>
      <c r="C190" t="s" s="25">
        <v>362</v>
      </c>
      <c r="D190" s="27">
        <v>0.5</v>
      </c>
      <c r="E190" s="28">
        <v>6.22</v>
      </c>
      <c r="F190" s="28">
        <v>6.65</v>
      </c>
      <c r="G190" s="27">
        <v>0.014</v>
      </c>
      <c r="H190" s="30"/>
      <c r="I190" s="30"/>
      <c r="J190" s="30"/>
      <c r="K190" s="30"/>
      <c r="L190" t="s" s="34">
        <v>363</v>
      </c>
      <c r="M190" s="30"/>
      <c r="N190" s="30"/>
      <c r="O190" s="30"/>
      <c r="P190" s="30"/>
      <c r="Q190" s="31"/>
    </row>
    <row r="191" ht="15.75" customHeight="1">
      <c r="A191" t="s" s="25">
        <v>352</v>
      </c>
      <c r="B191" t="s" s="32">
        <v>67</v>
      </c>
      <c r="C191" t="s" s="25">
        <v>364</v>
      </c>
      <c r="D191" s="27">
        <v>0.5</v>
      </c>
      <c r="E191" s="28">
        <v>6.13</v>
      </c>
      <c r="F191" s="28">
        <v>6.17</v>
      </c>
      <c r="G191" s="27">
        <v>0.004</v>
      </c>
      <c r="H191" s="30"/>
      <c r="I191" s="30"/>
      <c r="J191" s="30"/>
      <c r="K191" s="30"/>
      <c r="L191" s="31"/>
      <c r="M191" s="30"/>
      <c r="N191" s="30"/>
      <c r="O191" s="30"/>
      <c r="P191" s="30"/>
      <c r="Q191" s="31"/>
    </row>
    <row r="192" ht="15.75" customHeight="1">
      <c r="A192" t="s" s="25">
        <v>352</v>
      </c>
      <c r="B192" t="s" s="32">
        <v>67</v>
      </c>
      <c r="C192" t="s" s="25">
        <v>365</v>
      </c>
      <c r="D192" s="27">
        <v>0.5</v>
      </c>
      <c r="E192" s="28">
        <v>0</v>
      </c>
      <c r="F192" s="28">
        <v>0</v>
      </c>
      <c r="G192" s="27">
        <v>0.043</v>
      </c>
      <c r="H192" t="s" s="29">
        <v>64</v>
      </c>
      <c r="I192" s="30"/>
      <c r="J192" s="30"/>
      <c r="K192" s="30"/>
      <c r="L192" t="s" s="34">
        <v>366</v>
      </c>
      <c r="M192" s="30"/>
      <c r="N192" s="30"/>
      <c r="O192" s="30"/>
      <c r="P192" s="30"/>
      <c r="Q192" s="31"/>
    </row>
    <row r="193" ht="15.75" customHeight="1">
      <c r="A193" t="s" s="25">
        <v>352</v>
      </c>
      <c r="B193" t="s" s="32">
        <v>67</v>
      </c>
      <c r="C193" t="s" s="25">
        <v>367</v>
      </c>
      <c r="D193" s="27">
        <v>0.5</v>
      </c>
      <c r="E193" s="28">
        <v>0</v>
      </c>
      <c r="F193" s="28">
        <v>0</v>
      </c>
      <c r="G193" s="27">
        <v>0.02</v>
      </c>
      <c r="H193" t="s" s="29">
        <v>64</v>
      </c>
      <c r="I193" s="30"/>
      <c r="J193" s="30"/>
      <c r="K193" s="30"/>
      <c r="L193" t="s" s="34">
        <v>368</v>
      </c>
      <c r="M193" s="30"/>
      <c r="N193" s="30"/>
      <c r="O193" s="30"/>
      <c r="P193" s="30"/>
      <c r="Q193" s="31"/>
    </row>
    <row r="194" ht="15.75" customHeight="1">
      <c r="A194" t="s" s="25">
        <v>352</v>
      </c>
      <c r="B194" t="s" s="32">
        <v>67</v>
      </c>
      <c r="C194" t="s" s="25">
        <v>369</v>
      </c>
      <c r="D194" s="27">
        <v>0.25</v>
      </c>
      <c r="E194" s="28">
        <v>6.5</v>
      </c>
      <c r="F194" s="28">
        <v>6.5</v>
      </c>
      <c r="G194" s="27">
        <v>0.002</v>
      </c>
      <c r="H194" s="30"/>
      <c r="I194" s="30"/>
      <c r="J194" s="30"/>
      <c r="K194" s="30"/>
      <c r="L194" s="31"/>
      <c r="M194" s="30"/>
      <c r="N194" s="30"/>
      <c r="O194" s="30"/>
      <c r="P194" s="30"/>
      <c r="Q194" s="31"/>
    </row>
    <row r="195" ht="15.75" customHeight="1">
      <c r="A195" t="s" s="25">
        <v>352</v>
      </c>
      <c r="B195" t="s" s="35">
        <v>86</v>
      </c>
      <c r="C195" t="s" s="25">
        <v>370</v>
      </c>
      <c r="D195" s="27">
        <v>0.95</v>
      </c>
      <c r="E195" s="28">
        <v>6.28</v>
      </c>
      <c r="F195" s="28">
        <v>6.71</v>
      </c>
      <c r="G195" s="27">
        <v>0.05</v>
      </c>
      <c r="H195" t="s" s="29">
        <v>64</v>
      </c>
      <c r="I195" s="30"/>
      <c r="J195" s="30"/>
      <c r="K195" s="30"/>
      <c r="L195" s="31"/>
      <c r="M195" s="30"/>
      <c r="N195" s="30"/>
      <c r="O195" s="30"/>
      <c r="P195" s="30"/>
      <c r="Q195" s="31"/>
    </row>
    <row r="196" ht="15.75" customHeight="1">
      <c r="A196" t="s" s="25">
        <v>352</v>
      </c>
      <c r="B196" t="s" s="35">
        <v>86</v>
      </c>
      <c r="C196" t="s" s="25">
        <v>371</v>
      </c>
      <c r="D196" s="27">
        <v>0.95</v>
      </c>
      <c r="E196" s="28">
        <v>6.52</v>
      </c>
      <c r="F196" s="28">
        <v>7.63</v>
      </c>
      <c r="G196" s="27">
        <v>0.122</v>
      </c>
      <c r="H196" t="s" s="29">
        <v>64</v>
      </c>
      <c r="I196" s="33">
        <v>1</v>
      </c>
      <c r="J196" s="33">
        <v>2</v>
      </c>
      <c r="K196" s="33">
        <v>1</v>
      </c>
      <c r="L196" s="31"/>
      <c r="M196" s="30"/>
      <c r="N196" s="30"/>
      <c r="O196" s="30"/>
      <c r="P196" s="30"/>
      <c r="Q196" s="31"/>
    </row>
    <row r="197" ht="15.75" customHeight="1">
      <c r="A197" t="s" s="25">
        <v>352</v>
      </c>
      <c r="B197" t="s" s="35">
        <v>86</v>
      </c>
      <c r="C197" t="s" s="25">
        <v>372</v>
      </c>
      <c r="D197" s="27">
        <v>0.95</v>
      </c>
      <c r="E197" s="28">
        <v>6.25</v>
      </c>
      <c r="F197" s="28">
        <v>6.8</v>
      </c>
      <c r="G197" s="27">
        <v>0.048</v>
      </c>
      <c r="H197" t="s" s="29">
        <v>64</v>
      </c>
      <c r="I197" s="33">
        <v>2</v>
      </c>
      <c r="J197" s="30"/>
      <c r="K197" s="33">
        <v>3</v>
      </c>
      <c r="L197" t="s" s="34">
        <v>373</v>
      </c>
      <c r="M197" s="30"/>
      <c r="N197" s="30"/>
      <c r="O197" s="30"/>
      <c r="P197" s="30"/>
      <c r="Q197" s="31"/>
    </row>
    <row r="198" ht="15.75" customHeight="1">
      <c r="A198" t="s" s="25">
        <v>352</v>
      </c>
      <c r="B198" t="s" s="35">
        <v>86</v>
      </c>
      <c r="C198" t="s" s="25">
        <v>374</v>
      </c>
      <c r="D198" s="27">
        <v>0.5</v>
      </c>
      <c r="E198" s="28">
        <v>6.15</v>
      </c>
      <c r="F198" s="28">
        <v>6.4</v>
      </c>
      <c r="G198" s="27">
        <v>0.013</v>
      </c>
      <c r="H198" s="30"/>
      <c r="I198" s="30"/>
      <c r="J198" s="30"/>
      <c r="K198" s="30"/>
      <c r="L198" t="s" s="34">
        <v>375</v>
      </c>
      <c r="M198" s="30"/>
      <c r="N198" s="30"/>
      <c r="O198" t="s" s="29">
        <v>64</v>
      </c>
      <c r="P198" s="30"/>
      <c r="Q198" t="s" s="34">
        <v>376</v>
      </c>
    </row>
    <row r="199" ht="15.75" customHeight="1">
      <c r="A199" t="s" s="25">
        <v>352</v>
      </c>
      <c r="B199" t="s" s="35">
        <v>86</v>
      </c>
      <c r="C199" t="s" s="25">
        <v>377</v>
      </c>
      <c r="D199" s="27">
        <v>0.5</v>
      </c>
      <c r="E199" s="28">
        <v>5.89</v>
      </c>
      <c r="F199" s="28">
        <v>6.06</v>
      </c>
      <c r="G199" s="27">
        <v>0.002</v>
      </c>
      <c r="H199" s="30"/>
      <c r="I199" s="30"/>
      <c r="J199" s="30"/>
      <c r="K199" s="30"/>
      <c r="L199" t="s" s="34">
        <v>378</v>
      </c>
      <c r="M199" s="30"/>
      <c r="N199" t="s" s="29">
        <v>64</v>
      </c>
      <c r="O199" s="30"/>
      <c r="P199" s="30"/>
      <c r="Q199" t="s" s="34">
        <v>379</v>
      </c>
    </row>
    <row r="200" ht="15.75" customHeight="1">
      <c r="A200" t="s" s="25">
        <v>352</v>
      </c>
      <c r="B200" t="s" s="35">
        <v>86</v>
      </c>
      <c r="C200" t="s" s="25">
        <v>380</v>
      </c>
      <c r="D200" s="27">
        <v>0.5</v>
      </c>
      <c r="E200" s="28">
        <v>6.21</v>
      </c>
      <c r="F200" s="28">
        <v>6.59</v>
      </c>
      <c r="G200" s="27">
        <v>0.002</v>
      </c>
      <c r="H200" s="30"/>
      <c r="I200" s="30"/>
      <c r="J200" s="30"/>
      <c r="K200" s="30"/>
      <c r="L200" s="31"/>
      <c r="M200" s="30"/>
      <c r="N200" s="30"/>
      <c r="O200" s="30"/>
      <c r="P200" s="30"/>
      <c r="Q200" s="31"/>
    </row>
    <row r="201" ht="15.75" customHeight="1">
      <c r="A201" t="s" s="25">
        <v>352</v>
      </c>
      <c r="B201" t="s" s="35">
        <v>86</v>
      </c>
      <c r="C201" t="s" s="25">
        <v>381</v>
      </c>
      <c r="D201" s="27">
        <v>0.5</v>
      </c>
      <c r="E201" s="28">
        <v>6.07</v>
      </c>
      <c r="F201" s="28">
        <v>6.27</v>
      </c>
      <c r="G201" s="27">
        <v>0.006</v>
      </c>
      <c r="H201" s="30"/>
      <c r="I201" s="30"/>
      <c r="J201" s="30"/>
      <c r="K201" s="30"/>
      <c r="L201" t="s" s="34">
        <v>382</v>
      </c>
      <c r="M201" s="30"/>
      <c r="N201" s="30"/>
      <c r="O201" s="30"/>
      <c r="P201" s="30"/>
      <c r="Q201" s="31"/>
    </row>
    <row r="202" ht="15.75" customHeight="1">
      <c r="A202" t="s" s="25">
        <v>352</v>
      </c>
      <c r="B202" t="s" s="35">
        <v>86</v>
      </c>
      <c r="C202" t="s" s="25">
        <v>383</v>
      </c>
      <c r="D202" s="27">
        <v>0.25</v>
      </c>
      <c r="E202" s="28">
        <v>0</v>
      </c>
      <c r="F202" s="28">
        <v>0</v>
      </c>
      <c r="G202" s="27">
        <v>0.002</v>
      </c>
      <c r="H202" s="30"/>
      <c r="I202" s="30"/>
      <c r="J202" s="30"/>
      <c r="K202" s="30"/>
      <c r="L202" s="31"/>
      <c r="M202" s="30"/>
      <c r="N202" s="30"/>
      <c r="O202" s="30"/>
      <c r="P202" s="30"/>
      <c r="Q202" s="31"/>
    </row>
    <row r="203" ht="15.75" customHeight="1">
      <c r="A203" t="s" s="25">
        <v>352</v>
      </c>
      <c r="B203" t="s" s="36">
        <v>100</v>
      </c>
      <c r="C203" t="s" s="25">
        <v>384</v>
      </c>
      <c r="D203" s="27">
        <v>0.95</v>
      </c>
      <c r="E203" s="28">
        <v>6.42</v>
      </c>
      <c r="F203" s="28">
        <v>8.25</v>
      </c>
      <c r="G203" s="27">
        <v>0.357</v>
      </c>
      <c r="H203" t="s" s="29">
        <v>64</v>
      </c>
      <c r="I203" s="33">
        <v>3</v>
      </c>
      <c r="J203" s="30"/>
      <c r="K203" s="30"/>
      <c r="L203" s="31"/>
      <c r="M203" t="s" s="29">
        <v>64</v>
      </c>
      <c r="N203" s="30"/>
      <c r="O203" s="30"/>
      <c r="P203" s="30"/>
      <c r="Q203" t="s" s="34">
        <v>385</v>
      </c>
    </row>
    <row r="204" ht="15.75" customHeight="1">
      <c r="A204" t="s" s="25">
        <v>352</v>
      </c>
      <c r="B204" t="s" s="36">
        <v>100</v>
      </c>
      <c r="C204" t="s" s="25">
        <v>386</v>
      </c>
      <c r="D204" s="27">
        <v>0.95</v>
      </c>
      <c r="E204" s="28">
        <v>6.43</v>
      </c>
      <c r="F204" s="28">
        <v>7.95</v>
      </c>
      <c r="G204" s="27">
        <v>0.264</v>
      </c>
      <c r="H204" t="s" s="29">
        <v>64</v>
      </c>
      <c r="I204" s="30"/>
      <c r="J204" s="30"/>
      <c r="K204" s="30"/>
      <c r="L204" s="31"/>
      <c r="M204" s="30"/>
      <c r="N204" s="30"/>
      <c r="O204" s="30"/>
      <c r="P204" s="30"/>
      <c r="Q204" s="31"/>
    </row>
    <row r="205" ht="15.75" customHeight="1">
      <c r="A205" t="s" s="25">
        <v>352</v>
      </c>
      <c r="B205" t="s" s="36">
        <v>100</v>
      </c>
      <c r="C205" t="s" s="25">
        <v>387</v>
      </c>
      <c r="D205" s="27">
        <v>0.5</v>
      </c>
      <c r="E205" s="28">
        <v>6.15</v>
      </c>
      <c r="F205" s="28">
        <v>6.84</v>
      </c>
      <c r="G205" s="27">
        <v>0.008999999999999999</v>
      </c>
      <c r="H205" s="30"/>
      <c r="I205" s="30"/>
      <c r="J205" s="30"/>
      <c r="K205" s="30"/>
      <c r="L205" s="31"/>
      <c r="M205" s="30"/>
      <c r="N205" s="30"/>
      <c r="O205" s="30"/>
      <c r="P205" s="30"/>
      <c r="Q205" s="31"/>
    </row>
    <row r="206" ht="15.75" customHeight="1">
      <c r="A206" t="s" s="25">
        <v>352</v>
      </c>
      <c r="B206" t="s" s="36">
        <v>100</v>
      </c>
      <c r="C206" t="s" s="25">
        <v>388</v>
      </c>
      <c r="D206" s="27">
        <v>0.5</v>
      </c>
      <c r="E206" s="28">
        <v>6.26</v>
      </c>
      <c r="F206" s="28">
        <v>7.02</v>
      </c>
      <c r="G206" s="27">
        <v>0.055</v>
      </c>
      <c r="H206" s="30"/>
      <c r="I206" s="30"/>
      <c r="J206" s="30"/>
      <c r="K206" s="30"/>
      <c r="L206" s="31"/>
      <c r="M206" s="30"/>
      <c r="N206" s="30"/>
      <c r="O206" s="30"/>
      <c r="P206" t="s" s="29">
        <v>64</v>
      </c>
      <c r="Q206" t="s" s="34">
        <v>389</v>
      </c>
    </row>
    <row r="207" ht="15.75" customHeight="1">
      <c r="A207" t="s" s="25">
        <v>390</v>
      </c>
      <c r="B207" t="s" s="26">
        <v>62</v>
      </c>
      <c r="C207" t="s" s="25">
        <v>391</v>
      </c>
      <c r="D207" s="27">
        <v>0.75</v>
      </c>
      <c r="E207" s="28">
        <v>6.08</v>
      </c>
      <c r="F207" s="28">
        <v>5.33</v>
      </c>
      <c r="G207" s="27">
        <v>0.008</v>
      </c>
      <c r="H207" t="s" s="29">
        <v>64</v>
      </c>
      <c r="I207" s="30"/>
      <c r="J207" s="30"/>
      <c r="K207" s="30"/>
      <c r="L207" s="31"/>
      <c r="M207" s="30"/>
      <c r="N207" s="30"/>
      <c r="O207" s="30"/>
      <c r="P207" s="30"/>
      <c r="Q207" s="31"/>
    </row>
    <row r="208" ht="15.75" customHeight="1">
      <c r="A208" t="s" s="25">
        <v>390</v>
      </c>
      <c r="B208" t="s" s="26">
        <v>62</v>
      </c>
      <c r="C208" t="s" s="25">
        <v>392</v>
      </c>
      <c r="D208" s="27">
        <v>0.25</v>
      </c>
      <c r="E208" s="28">
        <v>6.11</v>
      </c>
      <c r="F208" s="28">
        <v>5.11</v>
      </c>
      <c r="G208" s="27">
        <v>0.002</v>
      </c>
      <c r="H208" s="30"/>
      <c r="I208" s="30"/>
      <c r="J208" s="30"/>
      <c r="K208" s="30"/>
      <c r="L208" s="31"/>
      <c r="M208" s="30"/>
      <c r="N208" s="30"/>
      <c r="O208" s="30"/>
      <c r="P208" s="30"/>
      <c r="Q208" s="31"/>
    </row>
    <row r="209" ht="15.75" customHeight="1">
      <c r="A209" t="s" s="25">
        <v>390</v>
      </c>
      <c r="B209" t="s" s="26">
        <v>62</v>
      </c>
      <c r="C209" t="s" s="25">
        <v>393</v>
      </c>
      <c r="D209" s="27">
        <v>0.01</v>
      </c>
      <c r="E209" s="28">
        <v>0</v>
      </c>
      <c r="F209" s="28">
        <v>0</v>
      </c>
      <c r="G209" s="27">
        <v>0.002</v>
      </c>
      <c r="H209" s="30"/>
      <c r="I209" s="30"/>
      <c r="J209" s="30"/>
      <c r="K209" s="30"/>
      <c r="L209" s="31"/>
      <c r="M209" s="30"/>
      <c r="N209" s="30"/>
      <c r="O209" s="30"/>
      <c r="P209" s="30"/>
      <c r="Q209" s="31"/>
    </row>
    <row r="210" ht="15.75" customHeight="1">
      <c r="A210" t="s" s="25">
        <v>390</v>
      </c>
      <c r="B210" t="s" s="32">
        <v>67</v>
      </c>
      <c r="C210" t="s" s="25">
        <v>394</v>
      </c>
      <c r="D210" s="27">
        <v>0.95</v>
      </c>
      <c r="E210" s="28">
        <v>6.33</v>
      </c>
      <c r="F210" s="28">
        <v>6.81</v>
      </c>
      <c r="G210" s="27">
        <v>0.041</v>
      </c>
      <c r="H210" t="s" s="29">
        <v>64</v>
      </c>
      <c r="I210" s="30"/>
      <c r="J210" s="30"/>
      <c r="K210" s="30"/>
      <c r="L210" s="31"/>
      <c r="M210" s="30"/>
      <c r="N210" s="30"/>
      <c r="O210" s="30"/>
      <c r="P210" s="30"/>
      <c r="Q210" s="31"/>
    </row>
    <row r="211" ht="15.75" customHeight="1">
      <c r="A211" t="s" s="25">
        <v>390</v>
      </c>
      <c r="B211" t="s" s="32">
        <v>67</v>
      </c>
      <c r="C211" t="s" s="25">
        <v>395</v>
      </c>
      <c r="D211" s="27">
        <v>0.95</v>
      </c>
      <c r="E211" s="28">
        <v>5.81</v>
      </c>
      <c r="F211" s="28">
        <v>5.99</v>
      </c>
      <c r="G211" s="27">
        <v>0.022</v>
      </c>
      <c r="H211" t="s" s="29">
        <v>64</v>
      </c>
      <c r="I211" s="30"/>
      <c r="J211" s="33">
        <v>2</v>
      </c>
      <c r="K211" s="33">
        <v>2</v>
      </c>
      <c r="L211" s="31"/>
      <c r="M211" s="30"/>
      <c r="N211" s="30"/>
      <c r="O211" s="30"/>
      <c r="P211" s="30"/>
      <c r="Q211" s="31"/>
    </row>
    <row r="212" ht="15.75" customHeight="1">
      <c r="A212" t="s" s="25">
        <v>390</v>
      </c>
      <c r="B212" t="s" s="32">
        <v>67</v>
      </c>
      <c r="C212" t="s" s="25">
        <v>396</v>
      </c>
      <c r="D212" s="27">
        <v>0.95</v>
      </c>
      <c r="E212" s="28">
        <v>6.14</v>
      </c>
      <c r="F212" s="28">
        <v>6.36</v>
      </c>
      <c r="G212" s="27">
        <v>0.032</v>
      </c>
      <c r="H212" t="s" s="29">
        <v>64</v>
      </c>
      <c r="I212" s="30"/>
      <c r="J212" s="30"/>
      <c r="K212" s="30"/>
      <c r="L212" s="31"/>
      <c r="M212" s="30"/>
      <c r="N212" s="30"/>
      <c r="O212" s="30"/>
      <c r="P212" s="30"/>
      <c r="Q212" s="31"/>
    </row>
    <row r="213" ht="15.75" customHeight="1">
      <c r="A213" t="s" s="25">
        <v>390</v>
      </c>
      <c r="B213" t="s" s="32">
        <v>67</v>
      </c>
      <c r="C213" t="s" s="25">
        <v>397</v>
      </c>
      <c r="D213" s="27">
        <v>0.5</v>
      </c>
      <c r="E213" s="28">
        <v>6.17</v>
      </c>
      <c r="F213" s="28">
        <v>6.26</v>
      </c>
      <c r="G213" s="27">
        <v>0.008</v>
      </c>
      <c r="H213" s="30"/>
      <c r="I213" s="30"/>
      <c r="J213" s="30"/>
      <c r="K213" s="30"/>
      <c r="L213" s="31"/>
      <c r="M213" s="30"/>
      <c r="N213" s="30"/>
      <c r="O213" s="30"/>
      <c r="P213" s="30"/>
      <c r="Q213" s="31"/>
    </row>
    <row r="214" ht="15.75" customHeight="1">
      <c r="A214" t="s" s="25">
        <v>390</v>
      </c>
      <c r="B214" t="s" s="32">
        <v>67</v>
      </c>
      <c r="C214" t="s" s="25">
        <v>398</v>
      </c>
      <c r="D214" s="27">
        <v>0.5</v>
      </c>
      <c r="E214" s="28">
        <v>5.94</v>
      </c>
      <c r="F214" s="28">
        <v>6.22</v>
      </c>
      <c r="G214" s="27">
        <v>0.002</v>
      </c>
      <c r="H214" s="30"/>
      <c r="I214" s="30"/>
      <c r="J214" s="30"/>
      <c r="K214" s="30"/>
      <c r="L214" s="31"/>
      <c r="M214" s="30"/>
      <c r="N214" s="30"/>
      <c r="O214" s="30"/>
      <c r="P214" s="30"/>
      <c r="Q214" s="31"/>
    </row>
    <row r="215" ht="15.75" customHeight="1">
      <c r="A215" t="s" s="25">
        <v>390</v>
      </c>
      <c r="B215" t="s" s="32">
        <v>67</v>
      </c>
      <c r="C215" t="s" s="25">
        <v>399</v>
      </c>
      <c r="D215" s="27">
        <v>0.5</v>
      </c>
      <c r="E215" s="28">
        <v>6.01</v>
      </c>
      <c r="F215" s="28">
        <v>6.07</v>
      </c>
      <c r="G215" s="27">
        <v>0.004</v>
      </c>
      <c r="H215" s="30"/>
      <c r="I215" s="30"/>
      <c r="J215" s="30"/>
      <c r="K215" s="30"/>
      <c r="L215" t="s" s="34">
        <v>400</v>
      </c>
      <c r="M215" s="30"/>
      <c r="N215" s="30"/>
      <c r="O215" t="s" s="29">
        <v>64</v>
      </c>
      <c r="P215" s="30"/>
      <c r="Q215" t="s" s="34">
        <v>401</v>
      </c>
    </row>
    <row r="216" ht="15.75" customHeight="1">
      <c r="A216" t="s" s="25">
        <v>390</v>
      </c>
      <c r="B216" t="s" s="32">
        <v>67</v>
      </c>
      <c r="C216" t="s" s="25">
        <v>402</v>
      </c>
      <c r="D216" s="27">
        <v>0.5</v>
      </c>
      <c r="E216" s="28">
        <v>5.88</v>
      </c>
      <c r="F216" s="28">
        <v>5.9</v>
      </c>
      <c r="G216" s="27">
        <v>0.007</v>
      </c>
      <c r="H216" t="s" s="29">
        <v>64</v>
      </c>
      <c r="I216" s="30"/>
      <c r="J216" s="30"/>
      <c r="K216" s="30"/>
      <c r="L216" t="s" s="34">
        <v>403</v>
      </c>
      <c r="M216" s="30"/>
      <c r="N216" s="30"/>
      <c r="O216" s="30"/>
      <c r="P216" s="30"/>
      <c r="Q216" s="31"/>
    </row>
    <row r="217" ht="15.75" customHeight="1">
      <c r="A217" t="s" s="25">
        <v>390</v>
      </c>
      <c r="B217" t="s" s="32">
        <v>67</v>
      </c>
      <c r="C217" t="s" s="25">
        <v>404</v>
      </c>
      <c r="D217" s="27">
        <v>0.25</v>
      </c>
      <c r="E217" s="28">
        <v>5.94</v>
      </c>
      <c r="F217" s="28">
        <v>6.55</v>
      </c>
      <c r="G217" s="27">
        <v>0.002</v>
      </c>
      <c r="H217" s="30"/>
      <c r="I217" s="30"/>
      <c r="J217" s="30"/>
      <c r="K217" s="30"/>
      <c r="L217" s="31"/>
      <c r="M217" s="30"/>
      <c r="N217" s="30"/>
      <c r="O217" s="30"/>
      <c r="P217" s="30"/>
      <c r="Q217" s="31"/>
    </row>
    <row r="218" ht="15.75" customHeight="1">
      <c r="A218" t="s" s="25">
        <v>390</v>
      </c>
      <c r="B218" t="s" s="32">
        <v>67</v>
      </c>
      <c r="C218" t="s" s="25">
        <v>405</v>
      </c>
      <c r="D218" s="27">
        <v>0.01</v>
      </c>
      <c r="E218" s="28">
        <v>5.69</v>
      </c>
      <c r="F218" s="28">
        <v>5.57</v>
      </c>
      <c r="G218" s="27">
        <v>0.002</v>
      </c>
      <c r="H218" s="30"/>
      <c r="I218" s="30"/>
      <c r="J218" s="30"/>
      <c r="K218" s="30"/>
      <c r="L218" s="31"/>
      <c r="M218" s="30"/>
      <c r="N218" s="30"/>
      <c r="O218" s="30"/>
      <c r="P218" s="30"/>
      <c r="Q218" s="31"/>
    </row>
    <row r="219" ht="15.75" customHeight="1">
      <c r="A219" t="s" s="25">
        <v>390</v>
      </c>
      <c r="B219" t="s" s="35">
        <v>86</v>
      </c>
      <c r="C219" t="s" s="25">
        <v>406</v>
      </c>
      <c r="D219" s="27">
        <v>0.95</v>
      </c>
      <c r="E219" s="28">
        <v>6.26</v>
      </c>
      <c r="F219" s="28">
        <v>6.19</v>
      </c>
      <c r="G219" s="27">
        <v>0.004</v>
      </c>
      <c r="H219" t="s" s="29">
        <v>64</v>
      </c>
      <c r="I219" s="33">
        <v>2</v>
      </c>
      <c r="J219" s="30"/>
      <c r="K219" s="33">
        <v>3</v>
      </c>
      <c r="L219" s="31"/>
      <c r="M219" s="30"/>
      <c r="N219" s="30"/>
      <c r="O219" s="30"/>
      <c r="P219" s="30"/>
      <c r="Q219" s="31"/>
    </row>
    <row r="220" ht="15.75" customHeight="1">
      <c r="A220" t="s" s="25">
        <v>390</v>
      </c>
      <c r="B220" t="s" s="35">
        <v>86</v>
      </c>
      <c r="C220" t="s" s="25">
        <v>407</v>
      </c>
      <c r="D220" s="27">
        <v>0.95</v>
      </c>
      <c r="E220" s="28">
        <v>6.13</v>
      </c>
      <c r="F220" s="28">
        <v>6.67</v>
      </c>
      <c r="G220" s="27">
        <v>0.045</v>
      </c>
      <c r="H220" t="s" s="29">
        <v>64</v>
      </c>
      <c r="I220" s="30"/>
      <c r="J220" s="30"/>
      <c r="K220" s="30"/>
      <c r="L220" s="31"/>
      <c r="M220" t="s" s="29">
        <v>64</v>
      </c>
      <c r="N220" s="30"/>
      <c r="O220" s="30"/>
      <c r="P220" s="30"/>
      <c r="Q220" t="s" s="34">
        <v>408</v>
      </c>
    </row>
    <row r="221" ht="15.75" customHeight="1">
      <c r="A221" t="s" s="25">
        <v>390</v>
      </c>
      <c r="B221" t="s" s="35">
        <v>86</v>
      </c>
      <c r="C221" t="s" s="25">
        <v>409</v>
      </c>
      <c r="D221" s="27">
        <v>0.75</v>
      </c>
      <c r="E221" s="28">
        <v>0</v>
      </c>
      <c r="F221" s="28">
        <v>0</v>
      </c>
      <c r="G221" s="27">
        <v>0.065</v>
      </c>
      <c r="H221" t="s" s="29">
        <v>64</v>
      </c>
      <c r="I221" s="30"/>
      <c r="J221" s="30"/>
      <c r="K221" s="30"/>
      <c r="L221" t="s" s="34">
        <v>410</v>
      </c>
      <c r="M221" s="30"/>
      <c r="N221" s="30"/>
      <c r="O221" s="30"/>
      <c r="P221" s="30"/>
      <c r="Q221" s="31"/>
    </row>
    <row r="222" ht="15.75" customHeight="1">
      <c r="A222" t="s" s="25">
        <v>390</v>
      </c>
      <c r="B222" t="s" s="35">
        <v>86</v>
      </c>
      <c r="C222" t="s" s="25">
        <v>411</v>
      </c>
      <c r="D222" s="27">
        <v>0.75</v>
      </c>
      <c r="E222" s="28">
        <v>6.1</v>
      </c>
      <c r="F222" s="28">
        <v>6.39</v>
      </c>
      <c r="G222" s="27">
        <v>0.016</v>
      </c>
      <c r="H222" t="s" s="29">
        <v>64</v>
      </c>
      <c r="I222" s="30"/>
      <c r="J222" s="30"/>
      <c r="K222" s="30"/>
      <c r="L222" s="31"/>
      <c r="M222" s="30"/>
      <c r="N222" s="30"/>
      <c r="O222" s="30"/>
      <c r="P222" s="30"/>
      <c r="Q222" s="31"/>
    </row>
    <row r="223" ht="15.75" customHeight="1">
      <c r="A223" t="s" s="25">
        <v>390</v>
      </c>
      <c r="B223" t="s" s="35">
        <v>86</v>
      </c>
      <c r="C223" t="s" s="25">
        <v>412</v>
      </c>
      <c r="D223" s="27">
        <v>0.5</v>
      </c>
      <c r="E223" s="28">
        <v>6.28</v>
      </c>
      <c r="F223" s="28">
        <v>6.7</v>
      </c>
      <c r="G223" s="27">
        <v>0.042</v>
      </c>
      <c r="H223" s="30"/>
      <c r="I223" s="30"/>
      <c r="J223" s="30"/>
      <c r="K223" s="30"/>
      <c r="L223" t="s" s="34">
        <v>413</v>
      </c>
      <c r="M223" s="30"/>
      <c r="N223" s="30"/>
      <c r="O223" s="30"/>
      <c r="P223" s="30"/>
      <c r="Q223" s="31"/>
    </row>
    <row r="224" ht="15.75" customHeight="1">
      <c r="A224" t="s" s="25">
        <v>390</v>
      </c>
      <c r="B224" t="s" s="35">
        <v>86</v>
      </c>
      <c r="C224" t="s" s="25">
        <v>414</v>
      </c>
      <c r="D224" s="27">
        <v>0.25</v>
      </c>
      <c r="E224" s="28">
        <v>0</v>
      </c>
      <c r="F224" s="28">
        <v>0</v>
      </c>
      <c r="G224" s="27">
        <v>0.002</v>
      </c>
      <c r="H224" s="30"/>
      <c r="I224" s="30"/>
      <c r="J224" s="30"/>
      <c r="K224" s="30"/>
      <c r="L224" s="31"/>
      <c r="M224" s="30"/>
      <c r="N224" s="30"/>
      <c r="O224" s="30"/>
      <c r="P224" s="30"/>
      <c r="Q224" s="31"/>
    </row>
    <row r="225" ht="15.75" customHeight="1">
      <c r="A225" t="s" s="25">
        <v>390</v>
      </c>
      <c r="B225" t="s" s="35">
        <v>86</v>
      </c>
      <c r="C225" t="s" s="25">
        <v>415</v>
      </c>
      <c r="D225" s="27">
        <v>0.25</v>
      </c>
      <c r="E225" s="28">
        <v>5.64</v>
      </c>
      <c r="F225" s="28">
        <v>5.55</v>
      </c>
      <c r="G225" s="27">
        <v>0.002</v>
      </c>
      <c r="H225" s="30"/>
      <c r="I225" s="30"/>
      <c r="J225" s="30"/>
      <c r="K225" s="30"/>
      <c r="L225" s="31"/>
      <c r="M225" s="30"/>
      <c r="N225" t="s" s="29">
        <v>64</v>
      </c>
      <c r="O225" s="30"/>
      <c r="P225" s="30"/>
      <c r="Q225" t="s" s="34">
        <v>416</v>
      </c>
    </row>
    <row r="226" ht="15.75" customHeight="1">
      <c r="A226" t="s" s="25">
        <v>390</v>
      </c>
      <c r="B226" t="s" s="35">
        <v>86</v>
      </c>
      <c r="C226" t="s" s="25">
        <v>417</v>
      </c>
      <c r="D226" s="27">
        <v>0.25</v>
      </c>
      <c r="E226" s="28">
        <v>5.97</v>
      </c>
      <c r="F226" s="28">
        <v>6.2</v>
      </c>
      <c r="G226" s="27">
        <v>0.002</v>
      </c>
      <c r="H226" s="30"/>
      <c r="I226" s="30"/>
      <c r="J226" s="30"/>
      <c r="K226" s="30"/>
      <c r="L226" s="31"/>
      <c r="M226" s="30"/>
      <c r="N226" s="30"/>
      <c r="O226" s="30"/>
      <c r="P226" s="30"/>
      <c r="Q226" s="31"/>
    </row>
    <row r="227" ht="15.75" customHeight="1">
      <c r="A227" t="s" s="25">
        <v>390</v>
      </c>
      <c r="B227" t="s" s="35">
        <v>86</v>
      </c>
      <c r="C227" t="s" s="25">
        <v>418</v>
      </c>
      <c r="D227" s="27">
        <v>0.25</v>
      </c>
      <c r="E227" s="28">
        <v>5.96</v>
      </c>
      <c r="F227" s="28">
        <v>5.92</v>
      </c>
      <c r="G227" s="27">
        <v>0.002</v>
      </c>
      <c r="H227" s="30"/>
      <c r="I227" s="30"/>
      <c r="J227" s="30"/>
      <c r="K227" s="30"/>
      <c r="L227" s="31"/>
      <c r="M227" s="30"/>
      <c r="N227" t="s" s="29">
        <v>64</v>
      </c>
      <c r="O227" s="30"/>
      <c r="P227" s="30"/>
      <c r="Q227" t="s" s="34">
        <v>419</v>
      </c>
    </row>
    <row r="228" ht="15.75" customHeight="1">
      <c r="A228" t="s" s="25">
        <v>390</v>
      </c>
      <c r="B228" t="s" s="36">
        <v>100</v>
      </c>
      <c r="C228" t="s" s="25">
        <v>420</v>
      </c>
      <c r="D228" s="27">
        <v>0.95</v>
      </c>
      <c r="E228" s="28">
        <v>0</v>
      </c>
      <c r="F228" s="28">
        <v>0</v>
      </c>
      <c r="G228" s="27">
        <v>0.27</v>
      </c>
      <c r="H228" t="s" s="29">
        <v>64</v>
      </c>
      <c r="I228" s="33">
        <v>1</v>
      </c>
      <c r="J228" s="30"/>
      <c r="K228" s="30"/>
      <c r="L228" s="31"/>
      <c r="M228" s="30"/>
      <c r="N228" s="30"/>
      <c r="O228" s="30"/>
      <c r="P228" s="30"/>
      <c r="Q228" s="31"/>
    </row>
    <row r="229" ht="15.75" customHeight="1">
      <c r="A229" t="s" s="25">
        <v>390</v>
      </c>
      <c r="B229" t="s" s="36">
        <v>100</v>
      </c>
      <c r="C229" t="s" s="25">
        <v>421</v>
      </c>
      <c r="D229" s="27">
        <v>0.95</v>
      </c>
      <c r="E229" s="28">
        <v>6.39</v>
      </c>
      <c r="F229" s="28">
        <v>7.3</v>
      </c>
      <c r="G229" s="27">
        <v>0.196</v>
      </c>
      <c r="H229" t="s" s="29">
        <v>64</v>
      </c>
      <c r="I229" s="33">
        <v>3</v>
      </c>
      <c r="J229" s="33">
        <v>1</v>
      </c>
      <c r="K229" s="33">
        <v>1</v>
      </c>
      <c r="L229" s="31"/>
      <c r="M229" t="s" s="29">
        <v>64</v>
      </c>
      <c r="N229" s="30"/>
      <c r="O229" s="30"/>
      <c r="P229" s="30"/>
      <c r="Q229" t="s" s="34">
        <v>422</v>
      </c>
    </row>
    <row r="230" ht="15.75" customHeight="1">
      <c r="A230" t="s" s="25">
        <v>390</v>
      </c>
      <c r="B230" t="s" s="36">
        <v>100</v>
      </c>
      <c r="C230" t="s" s="25">
        <v>423</v>
      </c>
      <c r="D230" s="27">
        <v>0.5</v>
      </c>
      <c r="E230" s="28">
        <v>6.19</v>
      </c>
      <c r="F230" s="28">
        <v>7.15</v>
      </c>
      <c r="G230" s="27">
        <v>0.002</v>
      </c>
      <c r="H230" s="30"/>
      <c r="I230" s="30"/>
      <c r="J230" s="30"/>
      <c r="K230" s="30"/>
      <c r="L230" s="31"/>
      <c r="M230" s="30"/>
      <c r="N230" s="30"/>
      <c r="O230" s="30"/>
      <c r="P230" s="30"/>
      <c r="Q230" s="31"/>
    </row>
    <row r="231" ht="15.75" customHeight="1">
      <c r="A231" t="s" s="25">
        <v>390</v>
      </c>
      <c r="B231" t="s" s="36">
        <v>100</v>
      </c>
      <c r="C231" t="s" s="25">
        <v>424</v>
      </c>
      <c r="D231" s="27">
        <v>0.5</v>
      </c>
      <c r="E231" s="28">
        <v>5.77</v>
      </c>
      <c r="F231" s="28">
        <v>6.34</v>
      </c>
      <c r="G231" s="27">
        <v>0.002</v>
      </c>
      <c r="H231" s="30"/>
      <c r="I231" s="30"/>
      <c r="J231" s="30"/>
      <c r="K231" s="30"/>
      <c r="L231" s="31"/>
      <c r="M231" s="30"/>
      <c r="N231" s="30"/>
      <c r="O231" s="30"/>
      <c r="P231" s="30"/>
      <c r="Q231" s="31"/>
    </row>
    <row r="232" ht="15.75" customHeight="1">
      <c r="A232" t="s" s="25">
        <v>390</v>
      </c>
      <c r="B232" t="s" s="36">
        <v>100</v>
      </c>
      <c r="C232" t="s" s="25">
        <v>425</v>
      </c>
      <c r="D232" s="27">
        <v>0.25</v>
      </c>
      <c r="E232" s="28">
        <v>5.96</v>
      </c>
      <c r="F232" s="28">
        <v>6.26</v>
      </c>
      <c r="G232" s="27">
        <v>0.002</v>
      </c>
      <c r="H232" s="30"/>
      <c r="I232" s="30"/>
      <c r="J232" s="30"/>
      <c r="K232" s="30"/>
      <c r="L232" s="31"/>
      <c r="M232" s="30"/>
      <c r="N232" s="30"/>
      <c r="O232" s="30"/>
      <c r="P232" t="s" s="29">
        <v>64</v>
      </c>
      <c r="Q232" t="s" s="34">
        <v>426</v>
      </c>
    </row>
    <row r="233" ht="15.75" customHeight="1">
      <c r="A233" t="s" s="25">
        <v>390</v>
      </c>
      <c r="B233" t="s" s="36">
        <v>100</v>
      </c>
      <c r="C233" t="s" s="25">
        <v>427</v>
      </c>
      <c r="D233" s="27">
        <v>0.01</v>
      </c>
      <c r="E233" s="28">
        <v>6</v>
      </c>
      <c r="F233" s="28">
        <v>6</v>
      </c>
      <c r="G233" s="27">
        <v>0.002</v>
      </c>
      <c r="H233" s="30"/>
      <c r="I233" s="30"/>
      <c r="J233" s="30"/>
      <c r="K233" s="30"/>
      <c r="L233" s="31"/>
      <c r="M233" s="30"/>
      <c r="N233" s="30"/>
      <c r="O233" s="30"/>
      <c r="P233" s="30"/>
      <c r="Q233" s="31"/>
    </row>
    <row r="234" ht="15.75" customHeight="1">
      <c r="A234" t="s" s="25">
        <v>428</v>
      </c>
      <c r="B234" t="s" s="26">
        <v>62</v>
      </c>
      <c r="C234" t="s" s="25">
        <v>429</v>
      </c>
      <c r="D234" s="27">
        <v>0.5</v>
      </c>
      <c r="E234" s="28">
        <v>0</v>
      </c>
      <c r="F234" s="28">
        <v>0</v>
      </c>
      <c r="G234" s="27">
        <v>0.01</v>
      </c>
      <c r="H234" t="s" s="29">
        <v>64</v>
      </c>
      <c r="I234" s="30"/>
      <c r="J234" s="30"/>
      <c r="K234" s="30"/>
      <c r="L234" s="31"/>
      <c r="M234" s="30"/>
      <c r="N234" s="30"/>
      <c r="O234" s="30"/>
      <c r="P234" s="30"/>
      <c r="Q234" s="31"/>
    </row>
    <row r="235" ht="15.75" customHeight="1">
      <c r="A235" t="s" s="25">
        <v>428</v>
      </c>
      <c r="B235" t="s" s="26">
        <v>62</v>
      </c>
      <c r="C235" t="s" s="25">
        <v>430</v>
      </c>
      <c r="D235" s="27">
        <v>0.5</v>
      </c>
      <c r="E235" s="28">
        <v>6</v>
      </c>
      <c r="F235" s="28">
        <v>5.17</v>
      </c>
      <c r="G235" s="27">
        <v>0.002</v>
      </c>
      <c r="H235" s="30"/>
      <c r="I235" s="30"/>
      <c r="J235" s="30"/>
      <c r="K235" s="30"/>
      <c r="L235" s="31"/>
      <c r="M235" s="30"/>
      <c r="N235" s="30"/>
      <c r="O235" s="30"/>
      <c r="P235" s="30"/>
      <c r="Q235" s="31"/>
    </row>
    <row r="236" ht="15.75" customHeight="1">
      <c r="A236" t="s" s="25">
        <v>428</v>
      </c>
      <c r="B236" t="s" s="26">
        <v>62</v>
      </c>
      <c r="C236" t="s" s="25">
        <v>431</v>
      </c>
      <c r="D236" s="27">
        <v>0.01</v>
      </c>
      <c r="E236" s="28">
        <v>0</v>
      </c>
      <c r="F236" s="28">
        <v>0</v>
      </c>
      <c r="G236" s="27">
        <v>0.001</v>
      </c>
      <c r="H236" s="30"/>
      <c r="I236" s="30"/>
      <c r="J236" s="30"/>
      <c r="K236" s="30"/>
      <c r="L236" s="31"/>
      <c r="M236" s="30"/>
      <c r="N236" s="30"/>
      <c r="O236" s="30"/>
      <c r="P236" s="30"/>
      <c r="Q236" s="31"/>
    </row>
    <row r="237" ht="15.75" customHeight="1">
      <c r="A237" t="s" s="25">
        <v>428</v>
      </c>
      <c r="B237" t="s" s="32">
        <v>67</v>
      </c>
      <c r="C237" t="s" s="25">
        <v>432</v>
      </c>
      <c r="D237" s="27">
        <v>0.75</v>
      </c>
      <c r="E237" s="28">
        <v>0</v>
      </c>
      <c r="F237" s="28">
        <v>0</v>
      </c>
      <c r="G237" s="27">
        <v>0.006</v>
      </c>
      <c r="H237" t="s" s="29">
        <v>64</v>
      </c>
      <c r="I237" s="30"/>
      <c r="J237" s="30"/>
      <c r="K237" s="30"/>
      <c r="L237" s="31"/>
      <c r="M237" s="30"/>
      <c r="N237" s="30"/>
      <c r="O237" s="30"/>
      <c r="P237" s="30"/>
      <c r="Q237" s="31"/>
    </row>
    <row r="238" ht="15.75" customHeight="1">
      <c r="A238" t="s" s="25">
        <v>428</v>
      </c>
      <c r="B238" t="s" s="32">
        <v>67</v>
      </c>
      <c r="C238" t="s" s="25">
        <v>433</v>
      </c>
      <c r="D238" s="27">
        <v>0.75</v>
      </c>
      <c r="E238" s="28">
        <v>5.86</v>
      </c>
      <c r="F238" s="28">
        <v>5.97</v>
      </c>
      <c r="G238" s="27">
        <v>0.002</v>
      </c>
      <c r="H238" t="s" s="29">
        <v>64</v>
      </c>
      <c r="I238" s="30"/>
      <c r="J238" s="30"/>
      <c r="K238" s="30"/>
      <c r="L238" s="31"/>
      <c r="M238" s="30"/>
      <c r="N238" s="30"/>
      <c r="O238" s="30"/>
      <c r="P238" s="30"/>
      <c r="Q238" s="31"/>
    </row>
    <row r="239" ht="15.75" customHeight="1">
      <c r="A239" t="s" s="25">
        <v>428</v>
      </c>
      <c r="B239" t="s" s="32">
        <v>67</v>
      </c>
      <c r="C239" t="s" s="25">
        <v>434</v>
      </c>
      <c r="D239" s="27">
        <v>0.5</v>
      </c>
      <c r="E239" s="28">
        <v>0</v>
      </c>
      <c r="F239" s="28">
        <v>0</v>
      </c>
      <c r="G239" s="27">
        <v>0.002</v>
      </c>
      <c r="H239" t="s" s="29">
        <v>64</v>
      </c>
      <c r="I239" s="30"/>
      <c r="J239" s="30"/>
      <c r="K239" s="30"/>
      <c r="L239" t="s" s="34">
        <v>435</v>
      </c>
      <c r="M239" s="30"/>
      <c r="N239" s="30"/>
      <c r="O239" t="s" s="29">
        <v>64</v>
      </c>
      <c r="P239" s="30"/>
      <c r="Q239" t="s" s="34">
        <v>436</v>
      </c>
    </row>
    <row r="240" ht="15.75" customHeight="1">
      <c r="A240" t="s" s="25">
        <v>428</v>
      </c>
      <c r="B240" t="s" s="32">
        <v>67</v>
      </c>
      <c r="C240" t="s" s="25">
        <v>437</v>
      </c>
      <c r="D240" s="27">
        <v>0.5</v>
      </c>
      <c r="E240" s="28">
        <v>5.91</v>
      </c>
      <c r="F240" s="28">
        <v>5.84</v>
      </c>
      <c r="G240" s="27">
        <v>0.002</v>
      </c>
      <c r="H240" s="30"/>
      <c r="I240" s="30"/>
      <c r="J240" s="30"/>
      <c r="K240" s="30"/>
      <c r="L240" t="s" s="34">
        <v>438</v>
      </c>
      <c r="M240" s="30"/>
      <c r="N240" s="30"/>
      <c r="O240" s="30"/>
      <c r="P240" t="s" s="29">
        <v>64</v>
      </c>
      <c r="Q240" t="s" s="34">
        <v>439</v>
      </c>
    </row>
    <row r="241" ht="15.75" customHeight="1">
      <c r="A241" t="s" s="25">
        <v>428</v>
      </c>
      <c r="B241" t="s" s="32">
        <v>67</v>
      </c>
      <c r="C241" t="s" s="25">
        <v>440</v>
      </c>
      <c r="D241" s="27">
        <v>0.5</v>
      </c>
      <c r="E241" s="28">
        <v>6.03</v>
      </c>
      <c r="F241" s="28">
        <v>5.91</v>
      </c>
      <c r="G241" s="27">
        <v>0.002</v>
      </c>
      <c r="H241" t="s" s="29">
        <v>64</v>
      </c>
      <c r="I241" s="30"/>
      <c r="J241" s="30"/>
      <c r="K241" s="30"/>
      <c r="L241" t="s" s="34">
        <v>441</v>
      </c>
      <c r="M241" s="30"/>
      <c r="N241" s="30"/>
      <c r="O241" s="30"/>
      <c r="P241" s="30"/>
      <c r="Q241" s="31"/>
    </row>
    <row r="242" ht="15.75" customHeight="1">
      <c r="A242" t="s" s="25">
        <v>428</v>
      </c>
      <c r="B242" t="s" s="32">
        <v>67</v>
      </c>
      <c r="C242" t="s" s="25">
        <v>442</v>
      </c>
      <c r="D242" s="27">
        <v>0.5</v>
      </c>
      <c r="E242" s="28">
        <v>5.91</v>
      </c>
      <c r="F242" s="28">
        <v>5.8</v>
      </c>
      <c r="G242" s="27">
        <v>0.002</v>
      </c>
      <c r="H242" s="30"/>
      <c r="I242" s="30"/>
      <c r="J242" s="30"/>
      <c r="K242" s="30"/>
      <c r="L242" t="s" s="34">
        <v>443</v>
      </c>
      <c r="M242" s="30"/>
      <c r="N242" s="30"/>
      <c r="O242" s="30"/>
      <c r="P242" s="30"/>
      <c r="Q242" s="31"/>
    </row>
    <row r="243" ht="15.75" customHeight="1">
      <c r="A243" t="s" s="25">
        <v>428</v>
      </c>
      <c r="B243" t="s" s="32">
        <v>67</v>
      </c>
      <c r="C243" t="s" s="25">
        <v>444</v>
      </c>
      <c r="D243" s="27">
        <v>0.25</v>
      </c>
      <c r="E243" s="28">
        <v>5.72</v>
      </c>
      <c r="F243" s="28">
        <v>5.72</v>
      </c>
      <c r="G243" s="27">
        <v>0.002</v>
      </c>
      <c r="H243" s="30"/>
      <c r="I243" s="30"/>
      <c r="J243" s="30"/>
      <c r="K243" s="30"/>
      <c r="L243" s="31"/>
      <c r="M243" s="30"/>
      <c r="N243" s="30"/>
      <c r="O243" s="30"/>
      <c r="P243" s="30"/>
      <c r="Q243" s="31"/>
    </row>
    <row r="244" ht="15.75" customHeight="1">
      <c r="A244" t="s" s="25">
        <v>428</v>
      </c>
      <c r="B244" t="s" s="32">
        <v>67</v>
      </c>
      <c r="C244" t="s" s="25">
        <v>445</v>
      </c>
      <c r="D244" s="27">
        <v>0.25</v>
      </c>
      <c r="E244" s="28">
        <v>5.79</v>
      </c>
      <c r="F244" s="28">
        <v>5.73</v>
      </c>
      <c r="G244" s="27">
        <v>0.002</v>
      </c>
      <c r="H244" s="30"/>
      <c r="I244" s="30"/>
      <c r="J244" s="30"/>
      <c r="K244" s="30"/>
      <c r="L244" s="31"/>
      <c r="M244" s="30"/>
      <c r="N244" s="30"/>
      <c r="O244" s="30"/>
      <c r="P244" s="30"/>
      <c r="Q244" s="31"/>
    </row>
    <row r="245" ht="15.75" customHeight="1">
      <c r="A245" t="s" s="25">
        <v>428</v>
      </c>
      <c r="B245" t="s" s="32">
        <v>67</v>
      </c>
      <c r="C245" t="s" s="25">
        <v>446</v>
      </c>
      <c r="D245" s="27">
        <v>0.25</v>
      </c>
      <c r="E245" s="28">
        <v>5.85</v>
      </c>
      <c r="F245" s="28">
        <v>5.75</v>
      </c>
      <c r="G245" s="27">
        <v>0.002</v>
      </c>
      <c r="H245" s="30"/>
      <c r="I245" s="30"/>
      <c r="J245" s="30"/>
      <c r="K245" s="30"/>
      <c r="L245" s="31"/>
      <c r="M245" s="30"/>
      <c r="N245" s="30"/>
      <c r="O245" s="30"/>
      <c r="P245" s="30"/>
      <c r="Q245" s="31"/>
    </row>
    <row r="246" ht="15.75" customHeight="1">
      <c r="A246" t="s" s="25">
        <v>428</v>
      </c>
      <c r="B246" t="s" s="32">
        <v>67</v>
      </c>
      <c r="C246" t="s" s="25">
        <v>447</v>
      </c>
      <c r="D246" s="27">
        <v>0.25</v>
      </c>
      <c r="E246" s="28">
        <v>5.85</v>
      </c>
      <c r="F246" s="28">
        <v>5.81</v>
      </c>
      <c r="G246" s="27">
        <v>0.002</v>
      </c>
      <c r="H246" s="30"/>
      <c r="I246" s="30"/>
      <c r="J246" s="30"/>
      <c r="K246" s="30"/>
      <c r="L246" s="31"/>
      <c r="M246" s="30"/>
      <c r="N246" s="30"/>
      <c r="O246" s="30"/>
      <c r="P246" s="30"/>
      <c r="Q246" s="31"/>
    </row>
    <row r="247" ht="15.75" customHeight="1">
      <c r="A247" t="s" s="25">
        <v>428</v>
      </c>
      <c r="B247" t="s" s="35">
        <v>86</v>
      </c>
      <c r="C247" t="s" s="25">
        <v>448</v>
      </c>
      <c r="D247" s="27">
        <v>0.95</v>
      </c>
      <c r="E247" s="28">
        <v>6.06</v>
      </c>
      <c r="F247" s="28">
        <v>6.56</v>
      </c>
      <c r="G247" s="27">
        <v>0.028</v>
      </c>
      <c r="H247" t="s" s="29">
        <v>64</v>
      </c>
      <c r="I247" s="33">
        <v>2</v>
      </c>
      <c r="J247" s="30"/>
      <c r="K247" s="33">
        <v>2</v>
      </c>
      <c r="L247" s="31"/>
      <c r="M247" t="s" s="29">
        <v>64</v>
      </c>
      <c r="N247" s="30"/>
      <c r="O247" s="30"/>
      <c r="P247" s="30"/>
      <c r="Q247" t="s" s="34">
        <v>449</v>
      </c>
    </row>
    <row r="248" ht="15.75" customHeight="1">
      <c r="A248" t="s" s="25">
        <v>428</v>
      </c>
      <c r="B248" t="s" s="35">
        <v>86</v>
      </c>
      <c r="C248" t="s" s="25">
        <v>450</v>
      </c>
      <c r="D248" s="27">
        <v>0.95</v>
      </c>
      <c r="E248" s="28">
        <v>5.88</v>
      </c>
      <c r="F248" s="28">
        <v>5.96</v>
      </c>
      <c r="G248" s="27">
        <v>0.07000000000000001</v>
      </c>
      <c r="H248" t="s" s="29">
        <v>64</v>
      </c>
      <c r="I248" s="33">
        <v>1</v>
      </c>
      <c r="J248" s="33">
        <v>1</v>
      </c>
      <c r="K248" s="33">
        <v>1</v>
      </c>
      <c r="L248" s="31"/>
      <c r="M248" t="s" s="29">
        <v>64</v>
      </c>
      <c r="N248" s="30"/>
      <c r="O248" s="30"/>
      <c r="P248" s="30"/>
      <c r="Q248" t="s" s="34">
        <v>451</v>
      </c>
    </row>
    <row r="249" ht="15.75" customHeight="1">
      <c r="A249" t="s" s="25">
        <v>428</v>
      </c>
      <c r="B249" t="s" s="35">
        <v>86</v>
      </c>
      <c r="C249" t="s" s="25">
        <v>452</v>
      </c>
      <c r="D249" s="27">
        <v>0.75</v>
      </c>
      <c r="E249" s="28">
        <v>6.07</v>
      </c>
      <c r="F249" s="28">
        <v>6.4</v>
      </c>
      <c r="G249" s="27">
        <v>0.002</v>
      </c>
      <c r="H249" s="30"/>
      <c r="I249" s="33">
        <v>3</v>
      </c>
      <c r="J249" s="33">
        <v>2</v>
      </c>
      <c r="K249" s="30"/>
      <c r="L249" t="s" s="34">
        <v>453</v>
      </c>
      <c r="M249" s="30"/>
      <c r="N249" s="30"/>
      <c r="O249" s="30"/>
      <c r="P249" s="30"/>
      <c r="Q249" s="31"/>
    </row>
    <row r="250" ht="15.75" customHeight="1">
      <c r="A250" t="s" s="25">
        <v>428</v>
      </c>
      <c r="B250" t="s" s="35">
        <v>86</v>
      </c>
      <c r="C250" t="s" s="25">
        <v>454</v>
      </c>
      <c r="D250" s="27">
        <v>0.5</v>
      </c>
      <c r="E250" s="28">
        <v>5.93</v>
      </c>
      <c r="F250" s="28">
        <v>6.29</v>
      </c>
      <c r="G250" s="27">
        <v>0.002</v>
      </c>
      <c r="H250" s="30"/>
      <c r="I250" s="30"/>
      <c r="J250" s="30"/>
      <c r="K250" s="30"/>
      <c r="L250" t="s" s="34">
        <v>455</v>
      </c>
      <c r="M250" s="30"/>
      <c r="N250" s="30"/>
      <c r="O250" s="30"/>
      <c r="P250" s="30"/>
      <c r="Q250" s="31"/>
    </row>
    <row r="251" ht="15.75" customHeight="1">
      <c r="A251" t="s" s="25">
        <v>428</v>
      </c>
      <c r="B251" t="s" s="35">
        <v>86</v>
      </c>
      <c r="C251" t="s" s="25">
        <v>456</v>
      </c>
      <c r="D251" s="27">
        <v>0.5</v>
      </c>
      <c r="E251" s="28">
        <v>5.69</v>
      </c>
      <c r="F251" s="28">
        <v>5.83</v>
      </c>
      <c r="G251" s="27">
        <v>0.002</v>
      </c>
      <c r="H251" s="30"/>
      <c r="I251" s="30"/>
      <c r="J251" s="30"/>
      <c r="K251" s="30"/>
      <c r="L251" s="31"/>
      <c r="M251" s="30"/>
      <c r="N251" s="30"/>
      <c r="O251" s="30"/>
      <c r="P251" s="30"/>
      <c r="Q251" s="31"/>
    </row>
    <row r="252" ht="15.75" customHeight="1">
      <c r="A252" t="s" s="25">
        <v>428</v>
      </c>
      <c r="B252" t="s" s="35">
        <v>86</v>
      </c>
      <c r="C252" t="s" s="25">
        <v>457</v>
      </c>
      <c r="D252" s="27">
        <v>0.5</v>
      </c>
      <c r="E252" s="28">
        <v>5.89</v>
      </c>
      <c r="F252" s="28">
        <v>5.89</v>
      </c>
      <c r="G252" s="27">
        <v>0.022</v>
      </c>
      <c r="H252" t="s" s="29">
        <v>64</v>
      </c>
      <c r="I252" s="30"/>
      <c r="J252" s="30"/>
      <c r="K252" s="30"/>
      <c r="L252" s="31"/>
      <c r="M252" s="30"/>
      <c r="N252" s="30"/>
      <c r="O252" s="30"/>
      <c r="P252" s="30"/>
      <c r="Q252" s="31"/>
    </row>
    <row r="253" ht="15.75" customHeight="1">
      <c r="A253" t="s" s="25">
        <v>428</v>
      </c>
      <c r="B253" t="s" s="35">
        <v>86</v>
      </c>
      <c r="C253" t="s" s="25">
        <v>458</v>
      </c>
      <c r="D253" s="27">
        <v>0.5</v>
      </c>
      <c r="E253" s="28">
        <v>6.04</v>
      </c>
      <c r="F253" s="28">
        <v>6.63</v>
      </c>
      <c r="G253" s="27">
        <v>0.007</v>
      </c>
      <c r="H253" t="s" s="29">
        <v>64</v>
      </c>
      <c r="I253" s="30"/>
      <c r="J253" s="30"/>
      <c r="K253" s="30"/>
      <c r="L253" t="s" s="34">
        <v>459</v>
      </c>
      <c r="M253" s="30"/>
      <c r="N253" s="30"/>
      <c r="O253" s="30"/>
      <c r="P253" s="30"/>
      <c r="Q253" s="31"/>
    </row>
    <row r="254" ht="15.75" customHeight="1">
      <c r="A254" t="s" s="25">
        <v>428</v>
      </c>
      <c r="B254" t="s" s="35">
        <v>86</v>
      </c>
      <c r="C254" t="s" s="25">
        <v>460</v>
      </c>
      <c r="D254" s="27">
        <v>0.5</v>
      </c>
      <c r="E254" s="28">
        <v>5.73</v>
      </c>
      <c r="F254" s="28">
        <v>5.68</v>
      </c>
      <c r="G254" s="27">
        <v>0.002</v>
      </c>
      <c r="H254" t="s" s="29">
        <v>64</v>
      </c>
      <c r="I254" s="30"/>
      <c r="J254" s="30"/>
      <c r="K254" s="33">
        <v>3</v>
      </c>
      <c r="L254" t="s" s="34">
        <v>461</v>
      </c>
      <c r="M254" s="30"/>
      <c r="N254" t="s" s="29">
        <v>64</v>
      </c>
      <c r="O254" s="30"/>
      <c r="P254" s="30"/>
      <c r="Q254" t="s" s="34">
        <v>462</v>
      </c>
    </row>
    <row r="255" ht="15.75" customHeight="1">
      <c r="A255" t="s" s="25">
        <v>428</v>
      </c>
      <c r="B255" t="s" s="35">
        <v>86</v>
      </c>
      <c r="C255" t="s" s="25">
        <v>463</v>
      </c>
      <c r="D255" s="27">
        <v>0.25</v>
      </c>
      <c r="E255" s="28">
        <v>5.77</v>
      </c>
      <c r="F255" s="28">
        <v>5.82</v>
      </c>
      <c r="G255" s="27">
        <v>0.001</v>
      </c>
      <c r="H255" s="30"/>
      <c r="I255" s="30"/>
      <c r="J255" s="30"/>
      <c r="K255" s="30"/>
      <c r="L255" s="31"/>
      <c r="M255" s="30"/>
      <c r="N255" s="30"/>
      <c r="O255" s="30"/>
      <c r="P255" s="30"/>
      <c r="Q255" s="31"/>
    </row>
    <row r="256" ht="15.75" customHeight="1">
      <c r="A256" t="s" s="25">
        <v>428</v>
      </c>
      <c r="B256" t="s" s="35">
        <v>86</v>
      </c>
      <c r="C256" t="s" s="25">
        <v>464</v>
      </c>
      <c r="D256" s="27">
        <v>0.01</v>
      </c>
      <c r="E256" s="28">
        <v>0</v>
      </c>
      <c r="F256" s="28">
        <v>0</v>
      </c>
      <c r="G256" s="27"/>
      <c r="H256" s="30"/>
      <c r="I256" s="30"/>
      <c r="J256" s="30"/>
      <c r="K256" s="30"/>
      <c r="L256" s="31"/>
      <c r="M256" s="30"/>
      <c r="N256" s="30"/>
      <c r="O256" s="30"/>
      <c r="P256" s="30"/>
      <c r="Q256" s="31"/>
    </row>
    <row r="257" ht="15.75" customHeight="1">
      <c r="A257" t="s" s="25">
        <v>428</v>
      </c>
      <c r="B257" t="s" s="36">
        <v>100</v>
      </c>
      <c r="C257" t="s" s="25">
        <v>465</v>
      </c>
      <c r="D257" s="27">
        <v>0.5</v>
      </c>
      <c r="E257" s="28">
        <v>5.68</v>
      </c>
      <c r="F257" s="28">
        <v>5.86</v>
      </c>
      <c r="G257" s="27">
        <v>0.002</v>
      </c>
      <c r="H257" s="30"/>
      <c r="I257" s="30"/>
      <c r="J257" s="30"/>
      <c r="K257" s="30"/>
      <c r="L257" s="31"/>
      <c r="M257" s="30"/>
      <c r="N257" s="30"/>
      <c r="O257" s="30"/>
      <c r="P257" s="30"/>
      <c r="Q257" s="31"/>
    </row>
    <row r="258" ht="15.75" customHeight="1">
      <c r="A258" t="s" s="25">
        <v>428</v>
      </c>
      <c r="B258" t="s" s="36">
        <v>100</v>
      </c>
      <c r="C258" t="s" s="25">
        <v>466</v>
      </c>
      <c r="D258" s="27">
        <v>0.5</v>
      </c>
      <c r="E258" s="28">
        <v>6.02</v>
      </c>
      <c r="F258" s="28">
        <v>6.5</v>
      </c>
      <c r="G258" s="27">
        <v>0.002</v>
      </c>
      <c r="H258" t="s" s="29">
        <v>64</v>
      </c>
      <c r="I258" s="30"/>
      <c r="J258" s="30"/>
      <c r="K258" s="30"/>
      <c r="L258" s="31"/>
      <c r="M258" s="30"/>
      <c r="N258" s="30"/>
      <c r="O258" s="30"/>
      <c r="P258" s="30"/>
      <c r="Q258" s="31"/>
    </row>
    <row r="259" ht="15.75" customHeight="1">
      <c r="A259" t="s" s="25">
        <v>428</v>
      </c>
      <c r="B259" t="s" s="36">
        <v>100</v>
      </c>
      <c r="C259" t="s" s="25">
        <v>467</v>
      </c>
      <c r="D259" s="27">
        <v>0.25</v>
      </c>
      <c r="E259" s="28">
        <v>5.64</v>
      </c>
      <c r="F259" s="28">
        <v>5.64</v>
      </c>
      <c r="G259" s="27">
        <v>0.004</v>
      </c>
      <c r="H259" s="30"/>
      <c r="I259" s="30"/>
      <c r="J259" s="30"/>
      <c r="K259" s="30"/>
      <c r="L259" s="31"/>
      <c r="M259" s="30"/>
      <c r="N259" s="30"/>
      <c r="O259" s="30"/>
      <c r="P259" s="30"/>
      <c r="Q259" s="31"/>
    </row>
    <row r="260" ht="15.75" customHeight="1">
      <c r="A260" t="s" s="25">
        <v>468</v>
      </c>
      <c r="B260" t="s" s="26">
        <v>62</v>
      </c>
      <c r="C260" t="s" s="25">
        <v>469</v>
      </c>
      <c r="D260" s="27">
        <v>0.95</v>
      </c>
      <c r="E260" s="28">
        <v>6.41</v>
      </c>
      <c r="F260" s="28">
        <v>5.23</v>
      </c>
      <c r="G260" s="27">
        <v>0.008999999999999999</v>
      </c>
      <c r="H260" t="s" s="29">
        <v>64</v>
      </c>
      <c r="I260" s="30"/>
      <c r="J260" s="30"/>
      <c r="K260" s="30"/>
      <c r="L260" s="31"/>
      <c r="M260" s="30"/>
      <c r="N260" s="30"/>
      <c r="O260" s="30"/>
      <c r="P260" s="30"/>
      <c r="Q260" s="31"/>
    </row>
    <row r="261" ht="15.75" customHeight="1">
      <c r="A261" t="s" s="25">
        <v>468</v>
      </c>
      <c r="B261" t="s" s="26">
        <v>62</v>
      </c>
      <c r="C261" t="s" s="25">
        <v>470</v>
      </c>
      <c r="D261" s="27">
        <v>0.01</v>
      </c>
      <c r="E261" s="28">
        <v>0</v>
      </c>
      <c r="F261" s="28">
        <v>0</v>
      </c>
      <c r="G261" s="27">
        <v>0.002</v>
      </c>
      <c r="H261" s="30"/>
      <c r="I261" s="30"/>
      <c r="J261" s="30"/>
      <c r="K261" s="30"/>
      <c r="L261" s="31"/>
      <c r="M261" s="30"/>
      <c r="N261" s="30"/>
      <c r="O261" s="30"/>
      <c r="P261" s="30"/>
      <c r="Q261" s="31"/>
    </row>
    <row r="262" ht="15.75" customHeight="1">
      <c r="A262" t="s" s="25">
        <v>468</v>
      </c>
      <c r="B262" t="s" s="32">
        <v>67</v>
      </c>
      <c r="C262" t="s" s="25">
        <v>471</v>
      </c>
      <c r="D262" s="27">
        <v>0.95</v>
      </c>
      <c r="E262" s="28">
        <v>5.95</v>
      </c>
      <c r="F262" s="28">
        <v>5.99</v>
      </c>
      <c r="G262" s="27">
        <v>0.002</v>
      </c>
      <c r="H262" t="s" s="29">
        <v>64</v>
      </c>
      <c r="I262" s="30"/>
      <c r="J262" s="33">
        <v>1</v>
      </c>
      <c r="K262" s="33">
        <v>1</v>
      </c>
      <c r="L262" s="31"/>
      <c r="M262" s="30"/>
      <c r="N262" s="30"/>
      <c r="O262" s="30"/>
      <c r="P262" s="30"/>
      <c r="Q262" s="31"/>
    </row>
    <row r="263" ht="15.75" customHeight="1">
      <c r="A263" t="s" s="25">
        <v>468</v>
      </c>
      <c r="B263" t="s" s="32">
        <v>67</v>
      </c>
      <c r="C263" t="s" s="25">
        <v>472</v>
      </c>
      <c r="D263" s="27">
        <v>0.95</v>
      </c>
      <c r="E263" s="28">
        <v>6</v>
      </c>
      <c r="F263" s="28">
        <v>6.01</v>
      </c>
      <c r="G263" s="27">
        <v>0.004</v>
      </c>
      <c r="H263" t="s" s="29">
        <v>64</v>
      </c>
      <c r="I263" s="30"/>
      <c r="J263" s="30"/>
      <c r="K263" s="30"/>
      <c r="L263" s="31"/>
      <c r="M263" s="30"/>
      <c r="N263" s="30"/>
      <c r="O263" s="30"/>
      <c r="P263" t="s" s="29">
        <v>64</v>
      </c>
      <c r="Q263" t="s" s="34">
        <v>473</v>
      </c>
    </row>
    <row r="264" ht="15.75" customHeight="1">
      <c r="A264" t="s" s="25">
        <v>468</v>
      </c>
      <c r="B264" t="s" s="32">
        <v>67</v>
      </c>
      <c r="C264" t="s" s="25">
        <v>474</v>
      </c>
      <c r="D264" s="27">
        <v>0.95</v>
      </c>
      <c r="E264" s="28">
        <v>5.82</v>
      </c>
      <c r="F264" s="28">
        <v>5.7</v>
      </c>
      <c r="G264" s="27">
        <v>0.002</v>
      </c>
      <c r="H264" t="s" s="29">
        <v>64</v>
      </c>
      <c r="I264" s="30"/>
      <c r="J264" s="30"/>
      <c r="K264" s="30"/>
      <c r="L264" s="31"/>
      <c r="M264" s="30"/>
      <c r="N264" s="30"/>
      <c r="O264" s="30"/>
      <c r="P264" s="30"/>
      <c r="Q264" s="31"/>
    </row>
    <row r="265" ht="15.75" customHeight="1">
      <c r="A265" t="s" s="25">
        <v>468</v>
      </c>
      <c r="B265" t="s" s="32">
        <v>67</v>
      </c>
      <c r="C265" t="s" s="25">
        <v>475</v>
      </c>
      <c r="D265" s="27">
        <v>0.75</v>
      </c>
      <c r="E265" s="28">
        <v>5.68</v>
      </c>
      <c r="F265" s="28">
        <v>5.76</v>
      </c>
      <c r="G265" s="27">
        <v>0.002</v>
      </c>
      <c r="H265" s="30"/>
      <c r="I265" s="30"/>
      <c r="J265" s="30"/>
      <c r="K265" s="30"/>
      <c r="L265" s="31"/>
      <c r="M265" s="30"/>
      <c r="N265" s="30"/>
      <c r="O265" s="30"/>
      <c r="P265" s="30"/>
      <c r="Q265" s="31"/>
    </row>
    <row r="266" ht="15.75" customHeight="1">
      <c r="A266" t="s" s="25">
        <v>468</v>
      </c>
      <c r="B266" t="s" s="32">
        <v>67</v>
      </c>
      <c r="C266" t="s" s="25">
        <v>476</v>
      </c>
      <c r="D266" s="27">
        <v>0.25</v>
      </c>
      <c r="E266" s="28">
        <v>5.83</v>
      </c>
      <c r="F266" s="28">
        <v>5.64</v>
      </c>
      <c r="G266" s="27">
        <v>0.002</v>
      </c>
      <c r="H266" t="s" s="29">
        <v>64</v>
      </c>
      <c r="I266" s="30"/>
      <c r="J266" s="30"/>
      <c r="K266" s="30"/>
      <c r="L266" s="31"/>
      <c r="M266" s="30"/>
      <c r="N266" s="30"/>
      <c r="O266" s="30"/>
      <c r="P266" s="30"/>
      <c r="Q266" s="31"/>
    </row>
    <row r="267" ht="15.75" customHeight="1">
      <c r="A267" t="s" s="25">
        <v>468</v>
      </c>
      <c r="B267" t="s" s="32">
        <v>67</v>
      </c>
      <c r="C267" t="s" s="25">
        <v>477</v>
      </c>
      <c r="D267" s="27">
        <v>0.25</v>
      </c>
      <c r="E267" s="28">
        <v>5.5</v>
      </c>
      <c r="F267" s="28">
        <v>5.5</v>
      </c>
      <c r="G267" s="27"/>
      <c r="H267" s="30"/>
      <c r="I267" s="30"/>
      <c r="J267" s="30"/>
      <c r="K267" s="30"/>
      <c r="L267" s="31"/>
      <c r="M267" s="30"/>
      <c r="N267" s="30"/>
      <c r="O267" s="30"/>
      <c r="P267" s="30"/>
      <c r="Q267" s="31"/>
    </row>
    <row r="268" ht="15.75" customHeight="1">
      <c r="A268" t="s" s="25">
        <v>468</v>
      </c>
      <c r="B268" t="s" s="32">
        <v>67</v>
      </c>
      <c r="C268" t="s" s="25">
        <v>478</v>
      </c>
      <c r="D268" s="27">
        <v>0.01</v>
      </c>
      <c r="E268" s="28">
        <v>5.8</v>
      </c>
      <c r="F268" s="28">
        <v>5.7</v>
      </c>
      <c r="G268" s="27"/>
      <c r="H268" s="30"/>
      <c r="I268" s="30"/>
      <c r="J268" s="30"/>
      <c r="K268" s="30"/>
      <c r="L268" s="31"/>
      <c r="M268" s="30"/>
      <c r="N268" s="30"/>
      <c r="O268" s="30"/>
      <c r="P268" s="30"/>
      <c r="Q268" s="31"/>
    </row>
    <row r="269" ht="15.75" customHeight="1">
      <c r="A269" t="s" s="25">
        <v>468</v>
      </c>
      <c r="B269" t="s" s="35">
        <v>86</v>
      </c>
      <c r="C269" t="s" s="25">
        <v>479</v>
      </c>
      <c r="D269" s="27">
        <v>0.95</v>
      </c>
      <c r="E269" s="28">
        <v>6.05</v>
      </c>
      <c r="F269" s="28">
        <v>6.29</v>
      </c>
      <c r="G269" s="27">
        <v>0.002</v>
      </c>
      <c r="H269" t="s" s="29">
        <v>64</v>
      </c>
      <c r="I269" s="30"/>
      <c r="J269" s="30"/>
      <c r="K269" s="30"/>
      <c r="L269" s="31"/>
      <c r="M269" t="s" s="29">
        <v>64</v>
      </c>
      <c r="N269" s="30"/>
      <c r="O269" s="30"/>
      <c r="P269" s="30"/>
      <c r="Q269" t="s" s="34">
        <v>480</v>
      </c>
    </row>
    <row r="270" ht="15.75" customHeight="1">
      <c r="A270" t="s" s="25">
        <v>468</v>
      </c>
      <c r="B270" t="s" s="35">
        <v>86</v>
      </c>
      <c r="C270" t="s" s="25">
        <v>481</v>
      </c>
      <c r="D270" s="27">
        <v>0.75</v>
      </c>
      <c r="E270" s="28">
        <v>6.17</v>
      </c>
      <c r="F270" s="28">
        <v>6.92</v>
      </c>
      <c r="G270" s="27">
        <v>0.002</v>
      </c>
      <c r="H270" s="30"/>
      <c r="I270" s="30"/>
      <c r="J270" s="30"/>
      <c r="K270" s="33">
        <v>3</v>
      </c>
      <c r="L270" t="s" s="34">
        <v>482</v>
      </c>
      <c r="M270" s="30"/>
      <c r="N270" s="30"/>
      <c r="O270" s="30"/>
      <c r="P270" s="30"/>
      <c r="Q270" s="31"/>
    </row>
    <row r="271" ht="15.75" customHeight="1">
      <c r="A271" t="s" s="25">
        <v>468</v>
      </c>
      <c r="B271" t="s" s="35">
        <v>86</v>
      </c>
      <c r="C271" t="s" s="25">
        <v>483</v>
      </c>
      <c r="D271" s="27">
        <v>0.75</v>
      </c>
      <c r="E271" s="28">
        <v>5.8</v>
      </c>
      <c r="F271" s="28">
        <v>5.85</v>
      </c>
      <c r="G271" s="27">
        <v>0.002</v>
      </c>
      <c r="H271" t="s" s="29">
        <v>64</v>
      </c>
      <c r="I271" s="33">
        <v>3</v>
      </c>
      <c r="J271" s="33">
        <v>2</v>
      </c>
      <c r="K271" s="33">
        <v>2</v>
      </c>
      <c r="L271" s="31"/>
      <c r="M271" s="30"/>
      <c r="N271" s="30"/>
      <c r="O271" s="30"/>
      <c r="P271" s="30"/>
      <c r="Q271" s="31"/>
    </row>
    <row r="272" ht="15.75" customHeight="1">
      <c r="A272" t="s" s="25">
        <v>468</v>
      </c>
      <c r="B272" t="s" s="35">
        <v>86</v>
      </c>
      <c r="C272" t="s" s="25">
        <v>484</v>
      </c>
      <c r="D272" s="27">
        <v>0.5</v>
      </c>
      <c r="E272" s="28">
        <v>5.97</v>
      </c>
      <c r="F272" s="28">
        <v>6.38</v>
      </c>
      <c r="G272" s="27">
        <v>0.002</v>
      </c>
      <c r="H272" t="s" s="29">
        <v>64</v>
      </c>
      <c r="I272" s="30"/>
      <c r="J272" s="30"/>
      <c r="K272" s="30"/>
      <c r="L272" s="31"/>
      <c r="M272" s="30"/>
      <c r="N272" s="30"/>
      <c r="O272" t="s" s="29">
        <v>64</v>
      </c>
      <c r="P272" s="30"/>
      <c r="Q272" t="s" s="34">
        <v>485</v>
      </c>
    </row>
    <row r="273" ht="15.75" customHeight="1">
      <c r="A273" t="s" s="25">
        <v>468</v>
      </c>
      <c r="B273" t="s" s="35">
        <v>86</v>
      </c>
      <c r="C273" t="s" s="25">
        <v>486</v>
      </c>
      <c r="D273" s="27">
        <v>0.5</v>
      </c>
      <c r="E273" s="28">
        <v>5.69</v>
      </c>
      <c r="F273" s="28">
        <v>5.71</v>
      </c>
      <c r="G273" s="27">
        <v>0.002</v>
      </c>
      <c r="H273" s="30"/>
      <c r="I273" s="30"/>
      <c r="J273" s="30"/>
      <c r="K273" s="30"/>
      <c r="L273" s="31"/>
      <c r="M273" s="30"/>
      <c r="N273" s="30"/>
      <c r="O273" s="30"/>
      <c r="P273" s="30"/>
      <c r="Q273" s="31"/>
    </row>
    <row r="274" ht="15.75" customHeight="1">
      <c r="A274" t="s" s="25">
        <v>468</v>
      </c>
      <c r="B274" t="s" s="35">
        <v>86</v>
      </c>
      <c r="C274" t="s" s="25">
        <v>487</v>
      </c>
      <c r="D274" s="27">
        <v>0.25</v>
      </c>
      <c r="E274" s="28">
        <v>5.77</v>
      </c>
      <c r="F274" s="28">
        <v>5.72</v>
      </c>
      <c r="G274" s="27"/>
      <c r="H274" s="30"/>
      <c r="I274" s="30"/>
      <c r="J274" s="30"/>
      <c r="K274" s="30"/>
      <c r="L274" s="31"/>
      <c r="M274" s="30"/>
      <c r="N274" s="30"/>
      <c r="O274" s="30"/>
      <c r="P274" s="30"/>
      <c r="Q274" s="31"/>
    </row>
    <row r="275" ht="15.75" customHeight="1">
      <c r="A275" t="s" s="25">
        <v>468</v>
      </c>
      <c r="B275" t="s" s="35">
        <v>86</v>
      </c>
      <c r="C275" t="s" s="25">
        <v>488</v>
      </c>
      <c r="D275" s="27">
        <v>0.25</v>
      </c>
      <c r="E275" s="28">
        <v>5.69</v>
      </c>
      <c r="F275" s="28">
        <v>5.65</v>
      </c>
      <c r="G275" s="27">
        <v>0.001</v>
      </c>
      <c r="H275" t="s" s="29">
        <v>64</v>
      </c>
      <c r="I275" s="30"/>
      <c r="J275" s="30"/>
      <c r="K275" s="30"/>
      <c r="L275" t="s" s="34">
        <v>489</v>
      </c>
      <c r="M275" s="30"/>
      <c r="N275" s="30"/>
      <c r="O275" s="30"/>
      <c r="P275" s="30"/>
      <c r="Q275" s="31"/>
    </row>
    <row r="276" ht="15.75" customHeight="1">
      <c r="A276" t="s" s="25">
        <v>468</v>
      </c>
      <c r="B276" t="s" s="35">
        <v>86</v>
      </c>
      <c r="C276" t="s" s="25">
        <v>490</v>
      </c>
      <c r="D276" s="27">
        <v>0.01</v>
      </c>
      <c r="E276" s="28">
        <v>5.5</v>
      </c>
      <c r="F276" s="28">
        <v>5.5</v>
      </c>
      <c r="G276" s="27">
        <v>0.002</v>
      </c>
      <c r="H276" s="30"/>
      <c r="I276" s="30"/>
      <c r="J276" s="30"/>
      <c r="K276" s="30"/>
      <c r="L276" s="31"/>
      <c r="M276" s="30"/>
      <c r="N276" t="s" s="29">
        <v>64</v>
      </c>
      <c r="O276" s="30"/>
      <c r="P276" s="30"/>
      <c r="Q276" t="s" s="34">
        <v>328</v>
      </c>
    </row>
    <row r="277" ht="15.75" customHeight="1">
      <c r="A277" t="s" s="25">
        <v>468</v>
      </c>
      <c r="B277" t="s" s="35">
        <v>86</v>
      </c>
      <c r="C277" t="s" s="25">
        <v>491</v>
      </c>
      <c r="D277" s="27">
        <v>0.01</v>
      </c>
      <c r="E277" s="28">
        <v>5.5</v>
      </c>
      <c r="F277" s="28">
        <v>5.5</v>
      </c>
      <c r="G277" s="27"/>
      <c r="H277" s="30"/>
      <c r="I277" s="30"/>
      <c r="J277" s="30"/>
      <c r="K277" s="30"/>
      <c r="L277" s="31"/>
      <c r="M277" s="30"/>
      <c r="N277" s="30"/>
      <c r="O277" s="30"/>
      <c r="P277" s="30"/>
      <c r="Q277" s="31"/>
    </row>
    <row r="278" ht="15.75" customHeight="1">
      <c r="A278" t="s" s="25">
        <v>468</v>
      </c>
      <c r="B278" t="s" s="36">
        <v>100</v>
      </c>
      <c r="C278" t="s" s="25">
        <v>492</v>
      </c>
      <c r="D278" s="27">
        <v>0.5</v>
      </c>
      <c r="E278" s="28">
        <v>0</v>
      </c>
      <c r="F278" s="28">
        <v>0</v>
      </c>
      <c r="G278" s="27">
        <v>0.004</v>
      </c>
      <c r="H278" t="s" s="29">
        <v>64</v>
      </c>
      <c r="I278" s="33">
        <v>1</v>
      </c>
      <c r="J278" s="30"/>
      <c r="K278" s="30"/>
      <c r="L278" t="s" s="34">
        <v>493</v>
      </c>
      <c r="M278" s="30"/>
      <c r="N278" s="30"/>
      <c r="O278" s="30"/>
      <c r="P278" s="30"/>
      <c r="Q278" s="31"/>
    </row>
    <row r="279" ht="15.75" customHeight="1">
      <c r="A279" t="s" s="25">
        <v>468</v>
      </c>
      <c r="B279" t="s" s="36">
        <v>100</v>
      </c>
      <c r="C279" t="s" s="25">
        <v>494</v>
      </c>
      <c r="D279" s="27">
        <v>0.5</v>
      </c>
      <c r="E279" s="28">
        <v>5.82</v>
      </c>
      <c r="F279" s="28">
        <v>6.08</v>
      </c>
      <c r="G279" s="27">
        <v>0.002</v>
      </c>
      <c r="H279" t="s" s="29">
        <v>64</v>
      </c>
      <c r="I279" s="30"/>
      <c r="J279" s="30"/>
      <c r="K279" s="30"/>
      <c r="L279" s="31"/>
      <c r="M279" t="s" s="29">
        <v>64</v>
      </c>
      <c r="N279" s="30"/>
      <c r="O279" s="30"/>
      <c r="P279" s="30"/>
      <c r="Q279" t="s" s="34">
        <v>495</v>
      </c>
    </row>
    <row r="280" ht="15.75" customHeight="1">
      <c r="A280" t="s" s="25">
        <v>468</v>
      </c>
      <c r="B280" t="s" s="36">
        <v>100</v>
      </c>
      <c r="C280" t="s" s="25">
        <v>496</v>
      </c>
      <c r="D280" s="27">
        <v>0.5</v>
      </c>
      <c r="E280" s="28">
        <v>5.73</v>
      </c>
      <c r="F280" s="28">
        <v>6.11</v>
      </c>
      <c r="G280" s="27">
        <v>0.002</v>
      </c>
      <c r="H280" s="30"/>
      <c r="I280" s="33">
        <v>2</v>
      </c>
      <c r="J280" s="30"/>
      <c r="K280" s="30"/>
      <c r="L280" t="s" s="34">
        <v>497</v>
      </c>
      <c r="M280" s="30"/>
      <c r="N280" s="30"/>
      <c r="O280" s="30"/>
      <c r="P280" s="30"/>
      <c r="Q280" s="31"/>
    </row>
    <row r="281" ht="15.75" customHeight="1">
      <c r="A281" t="s" s="25">
        <v>498</v>
      </c>
      <c r="B281" t="s" s="26">
        <v>62</v>
      </c>
      <c r="C281" t="s" s="25">
        <v>499</v>
      </c>
      <c r="D281" s="27">
        <v>0.95</v>
      </c>
      <c r="E281" s="28">
        <v>6.26</v>
      </c>
      <c r="F281" s="28">
        <v>5.42</v>
      </c>
      <c r="G281" s="27">
        <v>0.07199999999999999</v>
      </c>
      <c r="H281" t="s" s="29">
        <v>64</v>
      </c>
      <c r="I281" s="30"/>
      <c r="J281" s="30"/>
      <c r="K281" s="30"/>
      <c r="L281" s="31"/>
      <c r="M281" s="30"/>
      <c r="N281" s="30"/>
      <c r="O281" s="30"/>
      <c r="P281" s="30"/>
      <c r="Q281" s="31"/>
    </row>
    <row r="282" ht="15.75" customHeight="1">
      <c r="A282" t="s" s="25">
        <v>498</v>
      </c>
      <c r="B282" t="s" s="26">
        <v>62</v>
      </c>
      <c r="C282" t="s" s="25">
        <v>500</v>
      </c>
      <c r="D282" s="27">
        <v>0.01</v>
      </c>
      <c r="E282" s="28">
        <v>6</v>
      </c>
      <c r="F282" s="28">
        <v>6</v>
      </c>
      <c r="G282" s="27">
        <v>0.002</v>
      </c>
      <c r="H282" s="30"/>
      <c r="I282" s="30"/>
      <c r="J282" s="30"/>
      <c r="K282" s="30"/>
      <c r="L282" s="31"/>
      <c r="M282" s="30"/>
      <c r="N282" s="30"/>
      <c r="O282" s="30"/>
      <c r="P282" s="30"/>
      <c r="Q282" s="31"/>
    </row>
    <row r="283" ht="15.75" customHeight="1">
      <c r="A283" t="s" s="25">
        <v>498</v>
      </c>
      <c r="B283" t="s" s="26">
        <v>62</v>
      </c>
      <c r="C283" t="s" s="25">
        <v>501</v>
      </c>
      <c r="D283" s="27">
        <v>0.01</v>
      </c>
      <c r="E283" s="28">
        <v>0</v>
      </c>
      <c r="F283" s="28">
        <v>0</v>
      </c>
      <c r="G283" s="27">
        <v>0.002</v>
      </c>
      <c r="H283" s="30"/>
      <c r="I283" s="30"/>
      <c r="J283" s="30"/>
      <c r="K283" s="30"/>
      <c r="L283" s="31"/>
      <c r="M283" s="30"/>
      <c r="N283" s="30"/>
      <c r="O283" s="30"/>
      <c r="P283" s="30"/>
      <c r="Q283" s="31"/>
    </row>
    <row r="284" ht="15.75" customHeight="1">
      <c r="A284" t="s" s="25">
        <v>498</v>
      </c>
      <c r="B284" t="s" s="32">
        <v>67</v>
      </c>
      <c r="C284" t="s" s="25">
        <v>502</v>
      </c>
      <c r="D284" s="27">
        <v>0.95</v>
      </c>
      <c r="E284" s="28">
        <v>5.97</v>
      </c>
      <c r="F284" s="28">
        <v>6.05</v>
      </c>
      <c r="G284" s="27">
        <v>0.016</v>
      </c>
      <c r="H284" t="s" s="29">
        <v>64</v>
      </c>
      <c r="I284" s="30"/>
      <c r="J284" s="30"/>
      <c r="K284" s="33">
        <v>3</v>
      </c>
      <c r="L284" s="31"/>
      <c r="M284" s="30"/>
      <c r="N284" s="30"/>
      <c r="O284" s="30"/>
      <c r="P284" t="s" s="29">
        <v>64</v>
      </c>
      <c r="Q284" t="s" s="34">
        <v>503</v>
      </c>
    </row>
    <row r="285" ht="15.75" customHeight="1">
      <c r="A285" t="s" s="25">
        <v>498</v>
      </c>
      <c r="B285" t="s" s="32">
        <v>67</v>
      </c>
      <c r="C285" t="s" s="25">
        <v>504</v>
      </c>
      <c r="D285" s="27">
        <v>0.95</v>
      </c>
      <c r="E285" s="28">
        <v>5.91</v>
      </c>
      <c r="F285" s="28">
        <v>5.84</v>
      </c>
      <c r="G285" s="27">
        <v>0.003</v>
      </c>
      <c r="H285" t="s" s="29">
        <v>64</v>
      </c>
      <c r="I285" s="30"/>
      <c r="J285" s="30"/>
      <c r="K285" s="30"/>
      <c r="L285" s="31"/>
      <c r="M285" s="30"/>
      <c r="N285" s="30"/>
      <c r="O285" s="30"/>
      <c r="P285" s="30"/>
      <c r="Q285" s="31"/>
    </row>
    <row r="286" ht="15.75" customHeight="1">
      <c r="A286" t="s" s="25">
        <v>498</v>
      </c>
      <c r="B286" t="s" s="32">
        <v>67</v>
      </c>
      <c r="C286" t="s" s="25">
        <v>505</v>
      </c>
      <c r="D286" s="27">
        <v>0.95</v>
      </c>
      <c r="E286" s="28">
        <v>6.03</v>
      </c>
      <c r="F286" s="28">
        <v>5.95</v>
      </c>
      <c r="G286" s="27">
        <v>0.022</v>
      </c>
      <c r="H286" t="s" s="29">
        <v>64</v>
      </c>
      <c r="I286" s="30"/>
      <c r="J286" s="30"/>
      <c r="K286" s="30"/>
      <c r="L286" s="31"/>
      <c r="M286" s="30"/>
      <c r="N286" s="30"/>
      <c r="O286" s="30"/>
      <c r="P286" s="30"/>
      <c r="Q286" s="31"/>
    </row>
    <row r="287" ht="15.75" customHeight="1">
      <c r="A287" t="s" s="25">
        <v>498</v>
      </c>
      <c r="B287" t="s" s="32">
        <v>67</v>
      </c>
      <c r="C287" t="s" s="25">
        <v>506</v>
      </c>
      <c r="D287" s="27">
        <v>0.95</v>
      </c>
      <c r="E287" s="28">
        <v>6.24</v>
      </c>
      <c r="F287" s="28">
        <v>6.62</v>
      </c>
      <c r="G287" s="27">
        <v>0.031</v>
      </c>
      <c r="H287" t="s" s="29">
        <v>64</v>
      </c>
      <c r="I287" s="30"/>
      <c r="J287" s="30"/>
      <c r="K287" s="30"/>
      <c r="L287" s="31"/>
      <c r="M287" s="30"/>
      <c r="N287" s="30"/>
      <c r="O287" s="30"/>
      <c r="P287" s="30"/>
      <c r="Q287" s="31"/>
    </row>
    <row r="288" ht="15.75" customHeight="1">
      <c r="A288" t="s" s="25">
        <v>498</v>
      </c>
      <c r="B288" t="s" s="32">
        <v>67</v>
      </c>
      <c r="C288" t="s" s="25">
        <v>507</v>
      </c>
      <c r="D288" s="27">
        <v>0.5</v>
      </c>
      <c r="E288" s="28">
        <v>5.97</v>
      </c>
      <c r="F288" s="28">
        <v>5.88</v>
      </c>
      <c r="G288" s="27">
        <v>0.002</v>
      </c>
      <c r="H288" s="30"/>
      <c r="I288" s="30"/>
      <c r="J288" s="30"/>
      <c r="K288" s="30"/>
      <c r="L288" s="31"/>
      <c r="M288" s="30"/>
      <c r="N288" t="s" s="29">
        <v>64</v>
      </c>
      <c r="O288" s="30"/>
      <c r="P288" s="30"/>
      <c r="Q288" t="s" s="34">
        <v>508</v>
      </c>
    </row>
    <row r="289" ht="15.75" customHeight="1">
      <c r="A289" t="s" s="25">
        <v>498</v>
      </c>
      <c r="B289" t="s" s="32">
        <v>67</v>
      </c>
      <c r="C289" t="s" s="25">
        <v>509</v>
      </c>
      <c r="D289" s="27">
        <v>0.25</v>
      </c>
      <c r="E289" s="28">
        <v>5.75</v>
      </c>
      <c r="F289" s="28">
        <v>5.9</v>
      </c>
      <c r="G289" s="27">
        <v>0.002</v>
      </c>
      <c r="H289" s="30"/>
      <c r="I289" s="30"/>
      <c r="J289" s="30"/>
      <c r="K289" s="30"/>
      <c r="L289" s="31"/>
      <c r="M289" s="30"/>
      <c r="N289" s="30"/>
      <c r="O289" s="30"/>
      <c r="P289" s="30"/>
      <c r="Q289" s="31"/>
    </row>
    <row r="290" ht="15.75" customHeight="1">
      <c r="A290" t="s" s="25">
        <v>498</v>
      </c>
      <c r="B290" t="s" s="32">
        <v>67</v>
      </c>
      <c r="C290" t="s" s="25">
        <v>510</v>
      </c>
      <c r="D290" s="27">
        <v>0.25</v>
      </c>
      <c r="E290" s="28">
        <v>5.64</v>
      </c>
      <c r="F290" s="28">
        <v>5.68</v>
      </c>
      <c r="G290" s="27">
        <v>0.002</v>
      </c>
      <c r="H290" s="30"/>
      <c r="I290" s="30"/>
      <c r="J290" s="30"/>
      <c r="K290" s="30"/>
      <c r="L290" s="31"/>
      <c r="M290" s="30"/>
      <c r="N290" s="30"/>
      <c r="O290" s="30"/>
      <c r="P290" s="30"/>
      <c r="Q290" s="31"/>
    </row>
    <row r="291" ht="15.75" customHeight="1">
      <c r="A291" t="s" s="25">
        <v>498</v>
      </c>
      <c r="B291" t="s" s="32">
        <v>67</v>
      </c>
      <c r="C291" t="s" s="25">
        <v>511</v>
      </c>
      <c r="D291" s="27">
        <v>0.01</v>
      </c>
      <c r="E291" s="28">
        <v>0</v>
      </c>
      <c r="F291" s="28">
        <v>0</v>
      </c>
      <c r="G291" s="27">
        <v>0.002</v>
      </c>
      <c r="H291" s="30"/>
      <c r="I291" s="30"/>
      <c r="J291" s="30"/>
      <c r="K291" s="30"/>
      <c r="L291" s="31"/>
      <c r="M291" s="30"/>
      <c r="N291" s="30"/>
      <c r="O291" s="30"/>
      <c r="P291" s="30"/>
      <c r="Q291" s="31"/>
    </row>
    <row r="292" ht="15.75" customHeight="1">
      <c r="A292" t="s" s="25">
        <v>498</v>
      </c>
      <c r="B292" t="s" s="35">
        <v>86</v>
      </c>
      <c r="C292" t="s" s="25">
        <v>512</v>
      </c>
      <c r="D292" s="27">
        <v>0.95</v>
      </c>
      <c r="E292" s="28">
        <v>6.45</v>
      </c>
      <c r="F292" s="28">
        <v>6.66</v>
      </c>
      <c r="G292" s="27">
        <v>0.021</v>
      </c>
      <c r="H292" t="s" s="29">
        <v>64</v>
      </c>
      <c r="I292" s="33">
        <v>3</v>
      </c>
      <c r="J292" s="33">
        <v>1</v>
      </c>
      <c r="K292" s="33">
        <v>1</v>
      </c>
      <c r="L292" s="31"/>
      <c r="M292" s="30"/>
      <c r="N292" s="30"/>
      <c r="O292" s="30"/>
      <c r="P292" s="30"/>
      <c r="Q292" s="31"/>
    </row>
    <row r="293" ht="15.75" customHeight="1">
      <c r="A293" t="s" s="25">
        <v>498</v>
      </c>
      <c r="B293" t="s" s="35">
        <v>86</v>
      </c>
      <c r="C293" t="s" s="25">
        <v>513</v>
      </c>
      <c r="D293" s="27">
        <v>0.95</v>
      </c>
      <c r="E293" s="28">
        <v>6.15</v>
      </c>
      <c r="F293" s="28">
        <v>7.08</v>
      </c>
      <c r="G293" s="27">
        <v>0.117</v>
      </c>
      <c r="H293" t="s" s="29">
        <v>64</v>
      </c>
      <c r="I293" s="33">
        <v>2</v>
      </c>
      <c r="J293" s="33">
        <v>2</v>
      </c>
      <c r="K293" s="33">
        <v>2</v>
      </c>
      <c r="L293" s="31"/>
      <c r="M293" t="s" s="29">
        <v>64</v>
      </c>
      <c r="N293" s="30"/>
      <c r="O293" s="30"/>
      <c r="P293" s="30"/>
      <c r="Q293" t="s" s="34">
        <v>514</v>
      </c>
    </row>
    <row r="294" ht="15.75" customHeight="1">
      <c r="A294" t="s" s="25">
        <v>498</v>
      </c>
      <c r="B294" t="s" s="35">
        <v>86</v>
      </c>
      <c r="C294" t="s" s="25">
        <v>515</v>
      </c>
      <c r="D294" s="27">
        <v>0.95</v>
      </c>
      <c r="E294" s="28">
        <v>6.33</v>
      </c>
      <c r="F294" s="28">
        <v>6.99</v>
      </c>
      <c r="G294" s="27">
        <v>0.062</v>
      </c>
      <c r="H294" t="s" s="29">
        <v>64</v>
      </c>
      <c r="I294" s="30"/>
      <c r="J294" s="30"/>
      <c r="K294" s="30"/>
      <c r="L294" s="31"/>
      <c r="M294" s="30"/>
      <c r="N294" s="30"/>
      <c r="O294" s="30"/>
      <c r="P294" s="30"/>
      <c r="Q294" s="31"/>
    </row>
    <row r="295" ht="15.75" customHeight="1">
      <c r="A295" t="s" s="25">
        <v>498</v>
      </c>
      <c r="B295" t="s" s="35">
        <v>86</v>
      </c>
      <c r="C295" t="s" s="25">
        <v>516</v>
      </c>
      <c r="D295" s="27">
        <v>0.75</v>
      </c>
      <c r="E295" s="28">
        <v>6.14</v>
      </c>
      <c r="F295" s="28">
        <v>6.41</v>
      </c>
      <c r="G295" s="27">
        <v>0.024</v>
      </c>
      <c r="H295" t="s" s="29">
        <v>64</v>
      </c>
      <c r="I295" s="30"/>
      <c r="J295" s="30"/>
      <c r="K295" s="30"/>
      <c r="L295" s="31"/>
      <c r="M295" s="30"/>
      <c r="N295" s="30"/>
      <c r="O295" s="30"/>
      <c r="P295" s="30"/>
      <c r="Q295" s="31"/>
    </row>
    <row r="296" ht="15.75" customHeight="1">
      <c r="A296" t="s" s="25">
        <v>498</v>
      </c>
      <c r="B296" t="s" s="35">
        <v>86</v>
      </c>
      <c r="C296" t="s" s="25">
        <v>517</v>
      </c>
      <c r="D296" s="27">
        <v>0.5</v>
      </c>
      <c r="E296" s="28">
        <v>5.5</v>
      </c>
      <c r="F296" s="28">
        <v>5.5</v>
      </c>
      <c r="G296" s="27">
        <v>0.004</v>
      </c>
      <c r="H296" s="30"/>
      <c r="I296" s="30"/>
      <c r="J296" s="30"/>
      <c r="K296" s="30"/>
      <c r="L296" s="31"/>
      <c r="M296" s="30"/>
      <c r="N296" s="30"/>
      <c r="O296" t="s" s="29">
        <v>64</v>
      </c>
      <c r="P296" s="30"/>
      <c r="Q296" t="s" s="34">
        <v>518</v>
      </c>
    </row>
    <row r="297" ht="15.75" customHeight="1">
      <c r="A297" t="s" s="25">
        <v>498</v>
      </c>
      <c r="B297" t="s" s="35">
        <v>86</v>
      </c>
      <c r="C297" t="s" s="25">
        <v>519</v>
      </c>
      <c r="D297" s="27">
        <v>0.5</v>
      </c>
      <c r="E297" s="28">
        <v>5.85</v>
      </c>
      <c r="F297" s="28">
        <v>6.06</v>
      </c>
      <c r="G297" s="27">
        <v>0.002</v>
      </c>
      <c r="H297" s="30"/>
      <c r="I297" s="30"/>
      <c r="J297" s="30"/>
      <c r="K297" s="30"/>
      <c r="L297" s="31"/>
      <c r="M297" s="30"/>
      <c r="N297" s="30"/>
      <c r="O297" s="30"/>
      <c r="P297" s="30"/>
      <c r="Q297" s="31"/>
    </row>
    <row r="298" ht="15.75" customHeight="1">
      <c r="A298" t="s" s="25">
        <v>498</v>
      </c>
      <c r="B298" t="s" s="35">
        <v>86</v>
      </c>
      <c r="C298" t="s" s="25">
        <v>520</v>
      </c>
      <c r="D298" s="27">
        <v>0.5</v>
      </c>
      <c r="E298" s="28">
        <v>5.71</v>
      </c>
      <c r="F298" s="28">
        <v>5.79</v>
      </c>
      <c r="G298" s="27">
        <v>0.002</v>
      </c>
      <c r="H298" s="30"/>
      <c r="I298" s="30"/>
      <c r="J298" s="30"/>
      <c r="K298" s="30"/>
      <c r="L298" s="31"/>
      <c r="M298" s="30"/>
      <c r="N298" s="30"/>
      <c r="O298" s="30"/>
      <c r="P298" s="30"/>
      <c r="Q298" s="31"/>
    </row>
    <row r="299" ht="15.75" customHeight="1">
      <c r="A299" t="s" s="25">
        <v>498</v>
      </c>
      <c r="B299" t="s" s="35">
        <v>86</v>
      </c>
      <c r="C299" t="s" s="25">
        <v>521</v>
      </c>
      <c r="D299" s="27">
        <v>0.5</v>
      </c>
      <c r="E299" s="28">
        <v>6</v>
      </c>
      <c r="F299" s="28">
        <v>6.16</v>
      </c>
      <c r="G299" s="27">
        <v>0.002</v>
      </c>
      <c r="H299" s="30"/>
      <c r="I299" s="30"/>
      <c r="J299" s="30"/>
      <c r="K299" s="30"/>
      <c r="L299" s="31"/>
      <c r="M299" s="30"/>
      <c r="N299" t="s" s="29">
        <v>64</v>
      </c>
      <c r="O299" s="30"/>
      <c r="P299" s="30"/>
      <c r="Q299" t="s" s="34">
        <v>522</v>
      </c>
    </row>
    <row r="300" ht="15.75" customHeight="1">
      <c r="A300" t="s" s="25">
        <v>498</v>
      </c>
      <c r="B300" t="s" s="35">
        <v>86</v>
      </c>
      <c r="C300" t="s" s="25">
        <v>523</v>
      </c>
      <c r="D300" s="27">
        <v>0.25</v>
      </c>
      <c r="E300" s="28">
        <v>6.1</v>
      </c>
      <c r="F300" s="28">
        <v>6.53</v>
      </c>
      <c r="G300" s="27">
        <v>0.002</v>
      </c>
      <c r="H300" s="30"/>
      <c r="I300" s="30"/>
      <c r="J300" s="30"/>
      <c r="K300" s="30"/>
      <c r="L300" s="31"/>
      <c r="M300" s="30"/>
      <c r="N300" s="30"/>
      <c r="O300" s="30"/>
      <c r="P300" s="30"/>
      <c r="Q300" s="31"/>
    </row>
    <row r="301" ht="15.75" customHeight="1">
      <c r="A301" t="s" s="25">
        <v>498</v>
      </c>
      <c r="B301" t="s" s="35">
        <v>86</v>
      </c>
      <c r="C301" t="s" s="25">
        <v>524</v>
      </c>
      <c r="D301" s="27">
        <v>0.25</v>
      </c>
      <c r="E301" s="28">
        <v>5.94</v>
      </c>
      <c r="F301" s="28">
        <v>6.1</v>
      </c>
      <c r="G301" s="27">
        <v>0.002</v>
      </c>
      <c r="H301" s="30"/>
      <c r="I301" s="30"/>
      <c r="J301" s="30"/>
      <c r="K301" s="30"/>
      <c r="L301" s="31"/>
      <c r="M301" s="30"/>
      <c r="N301" s="30"/>
      <c r="O301" s="30"/>
      <c r="P301" s="30"/>
      <c r="Q301" s="31"/>
    </row>
    <row r="302" ht="15.75" customHeight="1">
      <c r="A302" t="s" s="25">
        <v>498</v>
      </c>
      <c r="B302" t="s" s="35">
        <v>86</v>
      </c>
      <c r="C302" t="s" s="25">
        <v>525</v>
      </c>
      <c r="D302" s="27">
        <v>0.01</v>
      </c>
      <c r="E302" s="28">
        <v>0</v>
      </c>
      <c r="F302" s="28">
        <v>0</v>
      </c>
      <c r="G302" s="27">
        <v>0.002</v>
      </c>
      <c r="H302" s="30"/>
      <c r="I302" s="30"/>
      <c r="J302" s="30"/>
      <c r="K302" s="30"/>
      <c r="L302" s="31"/>
      <c r="M302" s="30"/>
      <c r="N302" s="30"/>
      <c r="O302" s="30"/>
      <c r="P302" s="30"/>
      <c r="Q302" s="31"/>
    </row>
    <row r="303" ht="15.75" customHeight="1">
      <c r="A303" t="s" s="25">
        <v>498</v>
      </c>
      <c r="B303" t="s" s="36">
        <v>100</v>
      </c>
      <c r="C303" t="s" s="25">
        <v>526</v>
      </c>
      <c r="D303" s="27">
        <v>0.95</v>
      </c>
      <c r="E303" s="28">
        <v>0</v>
      </c>
      <c r="F303" s="28">
        <v>0</v>
      </c>
      <c r="G303" s="27">
        <v>0.26</v>
      </c>
      <c r="H303" t="s" s="29">
        <v>64</v>
      </c>
      <c r="I303" s="33">
        <v>1</v>
      </c>
      <c r="J303" s="30"/>
      <c r="K303" s="30"/>
      <c r="L303" s="31"/>
      <c r="M303" t="s" s="29">
        <v>64</v>
      </c>
      <c r="N303" s="30"/>
      <c r="O303" s="30"/>
      <c r="P303" s="30"/>
      <c r="Q303" t="s" s="34">
        <v>527</v>
      </c>
    </row>
    <row r="304" ht="15.75" customHeight="1">
      <c r="A304" t="s" s="25">
        <v>498</v>
      </c>
      <c r="B304" t="s" s="36">
        <v>100</v>
      </c>
      <c r="C304" t="s" s="25">
        <v>528</v>
      </c>
      <c r="D304" s="27">
        <v>0.5</v>
      </c>
      <c r="E304" s="28">
        <v>5.88</v>
      </c>
      <c r="F304" s="28">
        <v>6.86</v>
      </c>
      <c r="G304" s="27">
        <v>0.062</v>
      </c>
      <c r="H304" t="s" s="29">
        <v>64</v>
      </c>
      <c r="I304" s="30"/>
      <c r="J304" s="30"/>
      <c r="K304" s="30"/>
      <c r="L304" t="s" s="34">
        <v>529</v>
      </c>
      <c r="M304" s="30"/>
      <c r="N304" s="30"/>
      <c r="O304" s="30"/>
      <c r="P304" s="30"/>
      <c r="Q304" s="31"/>
    </row>
    <row r="305" ht="15.75" customHeight="1">
      <c r="A305" t="s" s="25">
        <v>498</v>
      </c>
      <c r="B305" t="s" s="36">
        <v>100</v>
      </c>
      <c r="C305" t="s" s="25">
        <v>530</v>
      </c>
      <c r="D305" s="27">
        <v>0.5</v>
      </c>
      <c r="E305" s="28">
        <v>5.94</v>
      </c>
      <c r="F305" s="28">
        <v>6.86</v>
      </c>
      <c r="G305" s="27">
        <v>0.008</v>
      </c>
      <c r="H305" s="30"/>
      <c r="I305" s="30"/>
      <c r="J305" s="30"/>
      <c r="K305" s="30"/>
      <c r="L305" t="s" s="34">
        <v>531</v>
      </c>
      <c r="M305" s="30"/>
      <c r="N305" s="30"/>
      <c r="O305" s="30"/>
      <c r="P305" s="30"/>
      <c r="Q305" s="31"/>
    </row>
    <row r="306" ht="15.75" customHeight="1">
      <c r="A306" t="s" s="25">
        <v>498</v>
      </c>
      <c r="B306" t="s" s="36">
        <v>100</v>
      </c>
      <c r="C306" t="s" s="25">
        <v>532</v>
      </c>
      <c r="D306" s="27">
        <v>0.25</v>
      </c>
      <c r="E306" s="28">
        <v>5.67</v>
      </c>
      <c r="F306" s="28">
        <v>5.64</v>
      </c>
      <c r="G306" s="27">
        <v>0.002</v>
      </c>
      <c r="H306" s="30"/>
      <c r="I306" s="30"/>
      <c r="J306" s="30"/>
      <c r="K306" s="30"/>
      <c r="L306" s="31"/>
      <c r="M306" s="30"/>
      <c r="N306" s="30"/>
      <c r="O306" s="30"/>
      <c r="P306" s="30"/>
      <c r="Q306" s="31"/>
    </row>
    <row r="307" ht="15.75" customHeight="1">
      <c r="A307" t="s" s="25">
        <v>498</v>
      </c>
      <c r="B307" t="s" s="36">
        <v>100</v>
      </c>
      <c r="C307" t="s" s="25">
        <v>533</v>
      </c>
      <c r="D307" s="27">
        <v>0.25</v>
      </c>
      <c r="E307" s="28">
        <v>5.5</v>
      </c>
      <c r="F307" s="28">
        <v>5.5</v>
      </c>
      <c r="G307" s="27">
        <v>0.002</v>
      </c>
      <c r="H307" s="30"/>
      <c r="I307" s="30"/>
      <c r="J307" s="30"/>
      <c r="K307" s="30"/>
      <c r="L307" s="31"/>
      <c r="M307" s="30"/>
      <c r="N307" s="30"/>
      <c r="O307" s="30"/>
      <c r="P307" s="30"/>
      <c r="Q307" s="31"/>
    </row>
    <row r="308" ht="15.75" customHeight="1">
      <c r="A308" t="s" s="25">
        <v>534</v>
      </c>
      <c r="B308" t="s" s="26">
        <v>62</v>
      </c>
      <c r="C308" t="s" s="25">
        <v>535</v>
      </c>
      <c r="D308" s="27">
        <v>0.75</v>
      </c>
      <c r="E308" s="28">
        <v>0</v>
      </c>
      <c r="F308" s="28">
        <v>0</v>
      </c>
      <c r="G308" s="27">
        <v>0.002</v>
      </c>
      <c r="H308" t="s" s="29">
        <v>64</v>
      </c>
      <c r="I308" s="30"/>
      <c r="J308" s="30"/>
      <c r="K308" s="30"/>
      <c r="L308" s="31"/>
      <c r="M308" s="30"/>
      <c r="N308" s="30"/>
      <c r="O308" t="s" s="29">
        <v>64</v>
      </c>
      <c r="P308" s="30"/>
      <c r="Q308" t="s" s="34">
        <v>536</v>
      </c>
    </row>
    <row r="309" ht="15.75" customHeight="1">
      <c r="A309" t="s" s="25">
        <v>534</v>
      </c>
      <c r="B309" t="s" s="26">
        <v>62</v>
      </c>
      <c r="C309" t="s" s="25">
        <v>537</v>
      </c>
      <c r="D309" s="27">
        <v>0.25</v>
      </c>
      <c r="E309" s="28">
        <v>0</v>
      </c>
      <c r="F309" s="28">
        <v>0</v>
      </c>
      <c r="G309" s="27">
        <v>0.002</v>
      </c>
      <c r="H309" s="30"/>
      <c r="I309" s="30"/>
      <c r="J309" s="30"/>
      <c r="K309" s="30"/>
      <c r="L309" s="31"/>
      <c r="M309" s="30"/>
      <c r="N309" s="30"/>
      <c r="O309" s="30"/>
      <c r="P309" s="30"/>
      <c r="Q309" s="31"/>
    </row>
    <row r="310" ht="15.75" customHeight="1">
      <c r="A310" t="s" s="25">
        <v>534</v>
      </c>
      <c r="B310" t="s" s="26">
        <v>62</v>
      </c>
      <c r="C310" t="s" s="25">
        <v>538</v>
      </c>
      <c r="D310" s="27">
        <v>0.01</v>
      </c>
      <c r="E310" s="28">
        <v>0</v>
      </c>
      <c r="F310" s="28">
        <v>0</v>
      </c>
      <c r="G310" s="27"/>
      <c r="H310" s="30"/>
      <c r="I310" s="30"/>
      <c r="J310" s="30"/>
      <c r="K310" s="30"/>
      <c r="L310" s="31"/>
      <c r="M310" s="30"/>
      <c r="N310" s="30"/>
      <c r="O310" s="30"/>
      <c r="P310" s="30"/>
      <c r="Q310" s="31"/>
    </row>
    <row r="311" ht="15.75" customHeight="1">
      <c r="A311" t="s" s="25">
        <v>534</v>
      </c>
      <c r="B311" t="s" s="32">
        <v>67</v>
      </c>
      <c r="C311" t="s" s="25">
        <v>539</v>
      </c>
      <c r="D311" s="27">
        <v>0.95</v>
      </c>
      <c r="E311" s="28">
        <v>0</v>
      </c>
      <c r="F311" s="28">
        <v>0</v>
      </c>
      <c r="G311" s="27">
        <v>0.002</v>
      </c>
      <c r="H311" t="s" s="29">
        <v>64</v>
      </c>
      <c r="I311" s="30"/>
      <c r="J311" s="30"/>
      <c r="K311" s="30"/>
      <c r="L311" s="31"/>
      <c r="M311" t="s" s="29">
        <v>64</v>
      </c>
      <c r="N311" s="30"/>
      <c r="O311" s="30"/>
      <c r="P311" s="30"/>
      <c r="Q311" t="s" s="34">
        <v>540</v>
      </c>
    </row>
    <row r="312" ht="15.75" customHeight="1">
      <c r="A312" t="s" s="25">
        <v>534</v>
      </c>
      <c r="B312" t="s" s="32">
        <v>67</v>
      </c>
      <c r="C312" t="s" s="25">
        <v>541</v>
      </c>
      <c r="D312" s="27">
        <v>0.95</v>
      </c>
      <c r="E312" s="28">
        <v>6</v>
      </c>
      <c r="F312" s="28">
        <v>6</v>
      </c>
      <c r="G312" s="27">
        <v>0.002</v>
      </c>
      <c r="H312" t="s" s="29">
        <v>64</v>
      </c>
      <c r="I312" s="30"/>
      <c r="J312" s="30"/>
      <c r="K312" s="30"/>
      <c r="L312" s="31"/>
      <c r="M312" s="30"/>
      <c r="N312" s="30"/>
      <c r="O312" s="30"/>
      <c r="P312" s="30"/>
      <c r="Q312" s="31"/>
    </row>
    <row r="313" ht="15.75" customHeight="1">
      <c r="A313" t="s" s="25">
        <v>534</v>
      </c>
      <c r="B313" t="s" s="32">
        <v>67</v>
      </c>
      <c r="C313" t="s" s="25">
        <v>542</v>
      </c>
      <c r="D313" s="27">
        <v>0.95</v>
      </c>
      <c r="E313" s="28">
        <v>0</v>
      </c>
      <c r="F313" s="28">
        <v>0</v>
      </c>
      <c r="G313" s="27">
        <v>0.002</v>
      </c>
      <c r="H313" t="s" s="29">
        <v>64</v>
      </c>
      <c r="I313" s="30"/>
      <c r="J313" s="30"/>
      <c r="K313" s="30"/>
      <c r="L313" s="31"/>
      <c r="M313" s="30"/>
      <c r="N313" s="30"/>
      <c r="O313" s="30"/>
      <c r="P313" s="30"/>
      <c r="Q313" s="31"/>
    </row>
    <row r="314" ht="15.75" customHeight="1">
      <c r="A314" t="s" s="25">
        <v>534</v>
      </c>
      <c r="B314" t="s" s="32">
        <v>67</v>
      </c>
      <c r="C314" t="s" s="25">
        <v>543</v>
      </c>
      <c r="D314" s="27">
        <v>0.75</v>
      </c>
      <c r="E314" s="28">
        <v>0</v>
      </c>
      <c r="F314" s="28">
        <v>0</v>
      </c>
      <c r="G314" s="27">
        <v>0.002</v>
      </c>
      <c r="H314" t="s" s="29">
        <v>64</v>
      </c>
      <c r="I314" s="30"/>
      <c r="J314" s="30"/>
      <c r="K314" s="30"/>
      <c r="L314" s="31"/>
      <c r="M314" s="30"/>
      <c r="N314" s="30"/>
      <c r="O314" s="30"/>
      <c r="P314" s="30"/>
      <c r="Q314" s="31"/>
    </row>
    <row r="315" ht="15.75" customHeight="1">
      <c r="A315" t="s" s="25">
        <v>534</v>
      </c>
      <c r="B315" t="s" s="32">
        <v>67</v>
      </c>
      <c r="C315" t="s" s="25">
        <v>544</v>
      </c>
      <c r="D315" s="27">
        <v>0.5</v>
      </c>
      <c r="E315" s="28">
        <v>0</v>
      </c>
      <c r="F315" s="28">
        <v>0</v>
      </c>
      <c r="G315" s="27">
        <v>0.002</v>
      </c>
      <c r="H315" t="s" s="29">
        <v>64</v>
      </c>
      <c r="I315" s="30"/>
      <c r="J315" s="30"/>
      <c r="K315" s="30"/>
      <c r="L315" s="31"/>
      <c r="M315" s="30"/>
      <c r="N315" s="30"/>
      <c r="O315" s="30"/>
      <c r="P315" s="30"/>
      <c r="Q315" s="31"/>
    </row>
    <row r="316" ht="15.75" customHeight="1">
      <c r="A316" t="s" s="25">
        <v>534</v>
      </c>
      <c r="B316" t="s" s="32">
        <v>67</v>
      </c>
      <c r="C316" t="s" s="25">
        <v>545</v>
      </c>
      <c r="D316" s="27">
        <v>0.25</v>
      </c>
      <c r="E316" s="28">
        <v>0</v>
      </c>
      <c r="F316" s="28">
        <v>0</v>
      </c>
      <c r="G316" s="27">
        <v>0.002</v>
      </c>
      <c r="H316" s="30"/>
      <c r="I316" s="30"/>
      <c r="J316" s="30"/>
      <c r="K316" s="30"/>
      <c r="L316" s="31"/>
      <c r="M316" s="30"/>
      <c r="N316" s="30"/>
      <c r="O316" s="30"/>
      <c r="P316" t="s" s="29">
        <v>64</v>
      </c>
      <c r="Q316" t="s" s="34">
        <v>546</v>
      </c>
    </row>
    <row r="317" ht="15.75" customHeight="1">
      <c r="A317" t="s" s="25">
        <v>534</v>
      </c>
      <c r="B317" t="s" s="32">
        <v>67</v>
      </c>
      <c r="C317" t="s" s="25">
        <v>547</v>
      </c>
      <c r="D317" s="27">
        <v>0.25</v>
      </c>
      <c r="E317" s="28">
        <v>0</v>
      </c>
      <c r="F317" s="28">
        <v>0</v>
      </c>
      <c r="G317" s="27">
        <v>0.001</v>
      </c>
      <c r="H317" s="30"/>
      <c r="I317" s="30"/>
      <c r="J317" s="30"/>
      <c r="K317" s="30"/>
      <c r="L317" s="31"/>
      <c r="M317" s="30"/>
      <c r="N317" s="30"/>
      <c r="O317" s="30"/>
      <c r="P317" s="30"/>
      <c r="Q317" s="31"/>
    </row>
    <row r="318" ht="15.75" customHeight="1">
      <c r="A318" t="s" s="25">
        <v>534</v>
      </c>
      <c r="B318" t="s" s="32">
        <v>67</v>
      </c>
      <c r="C318" t="s" s="25">
        <v>548</v>
      </c>
      <c r="D318" s="27">
        <v>0.01</v>
      </c>
      <c r="E318" s="28">
        <v>0</v>
      </c>
      <c r="F318" s="28">
        <v>0</v>
      </c>
      <c r="G318" s="27">
        <v>0.002</v>
      </c>
      <c r="H318" s="30"/>
      <c r="I318" s="30"/>
      <c r="J318" s="30"/>
      <c r="K318" s="30"/>
      <c r="L318" s="31"/>
      <c r="M318" s="30"/>
      <c r="N318" s="30"/>
      <c r="O318" s="30"/>
      <c r="P318" s="30"/>
      <c r="Q318" s="31"/>
    </row>
    <row r="319" ht="15.75" customHeight="1">
      <c r="A319" t="s" s="25">
        <v>534</v>
      </c>
      <c r="B319" t="s" s="35">
        <v>86</v>
      </c>
      <c r="C319" t="s" s="25">
        <v>549</v>
      </c>
      <c r="D319" s="27">
        <v>0.95</v>
      </c>
      <c r="E319" s="28">
        <v>0</v>
      </c>
      <c r="F319" s="28">
        <v>0</v>
      </c>
      <c r="G319" s="27">
        <v>0.003</v>
      </c>
      <c r="H319" t="s" s="29">
        <v>64</v>
      </c>
      <c r="I319" s="33">
        <v>1</v>
      </c>
      <c r="J319" s="33">
        <v>2</v>
      </c>
      <c r="K319" s="33">
        <v>1</v>
      </c>
      <c r="L319" s="31"/>
      <c r="M319" s="30"/>
      <c r="N319" s="30"/>
      <c r="O319" s="30"/>
      <c r="P319" s="30"/>
      <c r="Q319" s="31"/>
    </row>
    <row r="320" ht="15.75" customHeight="1">
      <c r="A320" t="s" s="25">
        <v>534</v>
      </c>
      <c r="B320" t="s" s="35">
        <v>86</v>
      </c>
      <c r="C320" t="s" s="25">
        <v>550</v>
      </c>
      <c r="D320" s="27">
        <v>0.75</v>
      </c>
      <c r="E320" s="28">
        <v>0</v>
      </c>
      <c r="F320" s="28">
        <v>0</v>
      </c>
      <c r="G320" s="27">
        <v>0.002</v>
      </c>
      <c r="H320" s="30"/>
      <c r="I320" s="30"/>
      <c r="J320" s="30"/>
      <c r="K320" s="33">
        <v>3</v>
      </c>
      <c r="L320" t="s" s="34">
        <v>551</v>
      </c>
      <c r="M320" s="30"/>
      <c r="N320" s="30"/>
      <c r="O320" s="30"/>
      <c r="P320" s="30"/>
      <c r="Q320" s="31"/>
    </row>
    <row r="321" ht="15.75" customHeight="1">
      <c r="A321" t="s" s="25">
        <v>534</v>
      </c>
      <c r="B321" t="s" s="35">
        <v>86</v>
      </c>
      <c r="C321" t="s" s="25">
        <v>552</v>
      </c>
      <c r="D321" s="27">
        <v>0.5</v>
      </c>
      <c r="E321" s="28">
        <v>5.8</v>
      </c>
      <c r="F321" s="28">
        <v>5.8</v>
      </c>
      <c r="G321" s="27">
        <v>0.002</v>
      </c>
      <c r="H321" t="s" s="29">
        <v>64</v>
      </c>
      <c r="I321" s="30"/>
      <c r="J321" s="30"/>
      <c r="K321" s="30"/>
      <c r="L321" t="s" s="34">
        <v>553</v>
      </c>
      <c r="M321" s="30"/>
      <c r="N321" s="30"/>
      <c r="O321" s="30"/>
      <c r="P321" s="30"/>
      <c r="Q321" s="31"/>
    </row>
    <row r="322" ht="15.75" customHeight="1">
      <c r="A322" t="s" s="25">
        <v>534</v>
      </c>
      <c r="B322" t="s" s="35">
        <v>86</v>
      </c>
      <c r="C322" t="s" s="25">
        <v>554</v>
      </c>
      <c r="D322" s="27">
        <v>0.5</v>
      </c>
      <c r="E322" s="28">
        <v>0</v>
      </c>
      <c r="F322" s="28">
        <v>0</v>
      </c>
      <c r="G322" s="27">
        <v>0.002</v>
      </c>
      <c r="H322" s="30"/>
      <c r="I322" s="30"/>
      <c r="J322" s="30"/>
      <c r="K322" s="30"/>
      <c r="L322" t="s" s="34">
        <v>555</v>
      </c>
      <c r="M322" s="30"/>
      <c r="N322" s="30"/>
      <c r="O322" s="30"/>
      <c r="P322" s="30"/>
      <c r="Q322" s="31"/>
    </row>
    <row r="323" ht="15.75" customHeight="1">
      <c r="A323" t="s" s="25">
        <v>534</v>
      </c>
      <c r="B323" t="s" s="35">
        <v>86</v>
      </c>
      <c r="C323" t="s" s="25">
        <v>556</v>
      </c>
      <c r="D323" s="27">
        <v>0.5</v>
      </c>
      <c r="E323" s="28">
        <v>0</v>
      </c>
      <c r="F323" s="28">
        <v>0</v>
      </c>
      <c r="G323" s="27">
        <v>0.008</v>
      </c>
      <c r="H323" t="s" s="29">
        <v>64</v>
      </c>
      <c r="I323" s="30"/>
      <c r="J323" s="33">
        <v>1</v>
      </c>
      <c r="K323" s="33">
        <v>2</v>
      </c>
      <c r="L323" t="s" s="34">
        <v>557</v>
      </c>
      <c r="M323" s="30"/>
      <c r="N323" t="s" s="29">
        <v>64</v>
      </c>
      <c r="O323" s="30"/>
      <c r="P323" s="30"/>
      <c r="Q323" t="s" s="34">
        <v>558</v>
      </c>
    </row>
    <row r="324" ht="15.75" customHeight="1">
      <c r="A324" t="s" s="25">
        <v>534</v>
      </c>
      <c r="B324" t="s" s="35">
        <v>86</v>
      </c>
      <c r="C324" t="s" s="25">
        <v>559</v>
      </c>
      <c r="D324" s="27">
        <v>0.5</v>
      </c>
      <c r="E324" s="28">
        <v>0</v>
      </c>
      <c r="F324" s="28">
        <v>0</v>
      </c>
      <c r="G324" s="27"/>
      <c r="H324" s="30"/>
      <c r="I324" s="30"/>
      <c r="J324" s="30"/>
      <c r="K324" s="30"/>
      <c r="L324" s="31"/>
      <c r="M324" s="30"/>
      <c r="N324" s="30"/>
      <c r="O324" s="30"/>
      <c r="P324" s="30"/>
      <c r="Q324" s="31"/>
    </row>
    <row r="325" ht="15.75" customHeight="1">
      <c r="A325" t="s" s="25">
        <v>534</v>
      </c>
      <c r="B325" t="s" s="36">
        <v>100</v>
      </c>
      <c r="C325" t="s" s="25">
        <v>560</v>
      </c>
      <c r="D325" s="27">
        <v>0.75</v>
      </c>
      <c r="E325" s="28">
        <v>0</v>
      </c>
      <c r="F325" s="28">
        <v>0</v>
      </c>
      <c r="G325" s="27">
        <v>0.002</v>
      </c>
      <c r="H325" t="s" s="29">
        <v>64</v>
      </c>
      <c r="I325" s="30"/>
      <c r="J325" s="30"/>
      <c r="K325" s="30"/>
      <c r="L325" t="s" s="34">
        <v>557</v>
      </c>
      <c r="M325" t="s" s="29">
        <v>64</v>
      </c>
      <c r="N325" s="30"/>
      <c r="O325" s="30"/>
      <c r="P325" s="30"/>
      <c r="Q325" t="s" s="34">
        <v>561</v>
      </c>
    </row>
    <row r="326" ht="15.75" customHeight="1">
      <c r="A326" t="s" s="25">
        <v>534</v>
      </c>
      <c r="B326" t="s" s="36">
        <v>100</v>
      </c>
      <c r="C326" t="s" s="25">
        <v>562</v>
      </c>
      <c r="D326" s="27">
        <v>0.5</v>
      </c>
      <c r="E326" s="28">
        <v>5.71</v>
      </c>
      <c r="F326" s="28">
        <v>5.92</v>
      </c>
      <c r="G326" s="27">
        <v>0.004</v>
      </c>
      <c r="H326" t="s" s="29">
        <v>64</v>
      </c>
      <c r="I326" s="33">
        <v>2</v>
      </c>
      <c r="J326" s="30"/>
      <c r="K326" s="30"/>
      <c r="L326" t="s" s="34">
        <v>563</v>
      </c>
      <c r="M326" s="30"/>
      <c r="N326" s="30"/>
      <c r="O326" s="30"/>
      <c r="P326" s="30"/>
      <c r="Q326" s="31"/>
    </row>
    <row r="327" ht="15.75" customHeight="1">
      <c r="A327" t="s" s="25">
        <v>534</v>
      </c>
      <c r="B327" t="s" s="36">
        <v>100</v>
      </c>
      <c r="C327" t="s" s="25">
        <v>564</v>
      </c>
      <c r="D327" s="27">
        <v>0.5</v>
      </c>
      <c r="E327" s="28">
        <v>0</v>
      </c>
      <c r="F327" s="28">
        <v>0</v>
      </c>
      <c r="G327" s="27">
        <v>0.002</v>
      </c>
      <c r="H327" s="30"/>
      <c r="I327" s="33">
        <v>3</v>
      </c>
      <c r="J327" s="30"/>
      <c r="K327" s="30"/>
      <c r="L327" s="31"/>
      <c r="M327" s="30"/>
      <c r="N327" s="30"/>
      <c r="O327" s="30"/>
      <c r="P327" s="30"/>
      <c r="Q327" s="31"/>
    </row>
    <row r="328" ht="15.75" customHeight="1">
      <c r="A328" t="s" s="25">
        <v>534</v>
      </c>
      <c r="B328" t="s" s="36">
        <v>100</v>
      </c>
      <c r="C328" t="s" s="25">
        <v>565</v>
      </c>
      <c r="D328" s="27">
        <v>0.25</v>
      </c>
      <c r="E328" s="28">
        <v>0</v>
      </c>
      <c r="F328" s="28">
        <v>0</v>
      </c>
      <c r="G328" s="27">
        <v>0.001</v>
      </c>
      <c r="H328" s="30"/>
      <c r="I328" s="30"/>
      <c r="J328" s="30"/>
      <c r="K328" s="30"/>
      <c r="L328" s="31"/>
      <c r="M328" s="30"/>
      <c r="N328" s="30"/>
      <c r="O328" s="30"/>
      <c r="P328" s="30"/>
      <c r="Q328" s="31"/>
    </row>
    <row r="329" ht="15.75" customHeight="1">
      <c r="A329" t="s" s="25">
        <v>534</v>
      </c>
      <c r="B329" t="s" s="36">
        <v>100</v>
      </c>
      <c r="C329" t="s" s="25">
        <v>566</v>
      </c>
      <c r="D329" s="27">
        <v>0.25</v>
      </c>
      <c r="E329" s="28">
        <v>0</v>
      </c>
      <c r="F329" s="28">
        <v>0</v>
      </c>
      <c r="G329" s="27">
        <v>0.002</v>
      </c>
      <c r="H329" s="30"/>
      <c r="I329" s="30"/>
      <c r="J329" s="30"/>
      <c r="K329" s="30"/>
      <c r="L329" t="s" s="34">
        <v>567</v>
      </c>
      <c r="M329" s="30"/>
      <c r="N329" s="30"/>
      <c r="O329" s="30"/>
      <c r="P329" s="30"/>
      <c r="Q329" s="31"/>
    </row>
    <row r="330" ht="15.75" customHeight="1">
      <c r="A330" t="s" s="25">
        <v>568</v>
      </c>
      <c r="B330" t="s" s="26">
        <v>62</v>
      </c>
      <c r="C330" t="s" s="25">
        <v>569</v>
      </c>
      <c r="D330" s="27">
        <v>0.5</v>
      </c>
      <c r="E330" s="28">
        <v>6.23</v>
      </c>
      <c r="F330" s="28">
        <v>5.18</v>
      </c>
      <c r="G330" s="27">
        <v>0.05</v>
      </c>
      <c r="H330" t="s" s="29">
        <v>64</v>
      </c>
      <c r="I330" s="30"/>
      <c r="J330" s="30"/>
      <c r="K330" s="30"/>
      <c r="L330" s="31"/>
      <c r="M330" s="30"/>
      <c r="N330" s="30"/>
      <c r="O330" s="30"/>
      <c r="P330" s="30"/>
      <c r="Q330" s="31"/>
    </row>
    <row r="331" ht="15.75" customHeight="1">
      <c r="A331" t="s" s="25">
        <v>568</v>
      </c>
      <c r="B331" t="s" s="26">
        <v>62</v>
      </c>
      <c r="C331" t="s" s="25">
        <v>570</v>
      </c>
      <c r="D331" s="27">
        <v>0.5</v>
      </c>
      <c r="E331" s="28">
        <v>6.2</v>
      </c>
      <c r="F331" s="28">
        <v>5.64</v>
      </c>
      <c r="G331" s="27">
        <v>0.016</v>
      </c>
      <c r="H331" s="30"/>
      <c r="I331" s="30"/>
      <c r="J331" s="30"/>
      <c r="K331" s="30"/>
      <c r="L331" s="31"/>
      <c r="M331" s="30"/>
      <c r="N331" s="30"/>
      <c r="O331" s="30"/>
      <c r="P331" s="30"/>
      <c r="Q331" s="31"/>
    </row>
    <row r="332" ht="15.75" customHeight="1">
      <c r="A332" t="s" s="25">
        <v>568</v>
      </c>
      <c r="B332" t="s" s="26">
        <v>62</v>
      </c>
      <c r="C332" t="s" s="25">
        <v>571</v>
      </c>
      <c r="D332" s="27">
        <v>0.01</v>
      </c>
      <c r="E332" s="28">
        <v>0</v>
      </c>
      <c r="F332" s="28">
        <v>0</v>
      </c>
      <c r="G332" s="27">
        <v>0.002</v>
      </c>
      <c r="H332" s="30"/>
      <c r="I332" s="30"/>
      <c r="J332" s="30"/>
      <c r="K332" s="30"/>
      <c r="L332" s="31"/>
      <c r="M332" s="30"/>
      <c r="N332" s="30"/>
      <c r="O332" s="30"/>
      <c r="P332" s="30"/>
      <c r="Q332" s="31"/>
    </row>
    <row r="333" ht="15.75" customHeight="1">
      <c r="A333" t="s" s="25">
        <v>568</v>
      </c>
      <c r="B333" t="s" s="32">
        <v>67</v>
      </c>
      <c r="C333" t="s" s="25">
        <v>572</v>
      </c>
      <c r="D333" s="27">
        <v>0.95</v>
      </c>
      <c r="E333" s="28">
        <v>6.08</v>
      </c>
      <c r="F333" s="28">
        <v>6.33</v>
      </c>
      <c r="G333" s="27">
        <v>0.032</v>
      </c>
      <c r="H333" t="s" s="29">
        <v>64</v>
      </c>
      <c r="I333" s="30"/>
      <c r="J333" s="30"/>
      <c r="K333" s="30"/>
      <c r="L333" s="31"/>
      <c r="M333" s="30"/>
      <c r="N333" s="30"/>
      <c r="O333" s="30"/>
      <c r="P333" s="30"/>
      <c r="Q333" s="31"/>
    </row>
    <row r="334" ht="15.75" customHeight="1">
      <c r="A334" t="s" s="25">
        <v>568</v>
      </c>
      <c r="B334" t="s" s="32">
        <v>67</v>
      </c>
      <c r="C334" t="s" s="25">
        <v>573</v>
      </c>
      <c r="D334" s="27">
        <v>0.95</v>
      </c>
      <c r="E334" s="28">
        <v>6.24</v>
      </c>
      <c r="F334" s="28">
        <v>6.48</v>
      </c>
      <c r="G334" s="27">
        <v>0.027</v>
      </c>
      <c r="H334" t="s" s="29">
        <v>64</v>
      </c>
      <c r="I334" s="30"/>
      <c r="J334" s="30"/>
      <c r="K334" s="30"/>
      <c r="L334" s="31"/>
      <c r="M334" s="30"/>
      <c r="N334" s="30"/>
      <c r="O334" s="30"/>
      <c r="P334" s="30"/>
      <c r="Q334" s="31"/>
    </row>
    <row r="335" ht="15.75" customHeight="1">
      <c r="A335" t="s" s="25">
        <v>568</v>
      </c>
      <c r="B335" t="s" s="32">
        <v>67</v>
      </c>
      <c r="C335" t="s" s="25">
        <v>574</v>
      </c>
      <c r="D335" s="27">
        <v>0.75</v>
      </c>
      <c r="E335" s="28">
        <v>0</v>
      </c>
      <c r="F335" s="28">
        <v>0</v>
      </c>
      <c r="G335" s="27">
        <v>0.002</v>
      </c>
      <c r="H335" t="s" s="29">
        <v>64</v>
      </c>
      <c r="I335" s="30"/>
      <c r="J335" s="30"/>
      <c r="K335" s="30"/>
      <c r="L335" t="s" s="34">
        <v>575</v>
      </c>
      <c r="M335" s="30"/>
      <c r="N335" s="30"/>
      <c r="O335" s="30"/>
      <c r="P335" s="30"/>
      <c r="Q335" s="31"/>
    </row>
    <row r="336" ht="15.75" customHeight="1">
      <c r="A336" t="s" s="25">
        <v>568</v>
      </c>
      <c r="B336" t="s" s="32">
        <v>67</v>
      </c>
      <c r="C336" t="s" s="25">
        <v>576</v>
      </c>
      <c r="D336" s="27">
        <v>0.75</v>
      </c>
      <c r="E336" s="28">
        <v>6.17</v>
      </c>
      <c r="F336" s="28">
        <v>6.55</v>
      </c>
      <c r="G336" s="27">
        <v>0.016</v>
      </c>
      <c r="H336" t="s" s="29">
        <v>64</v>
      </c>
      <c r="I336" s="30"/>
      <c r="J336" s="30"/>
      <c r="K336" s="30"/>
      <c r="L336" s="31"/>
      <c r="M336" s="30"/>
      <c r="N336" s="30"/>
      <c r="O336" s="30"/>
      <c r="P336" s="30"/>
      <c r="Q336" s="31"/>
    </row>
    <row r="337" ht="15.75" customHeight="1">
      <c r="A337" t="s" s="25">
        <v>568</v>
      </c>
      <c r="B337" t="s" s="32">
        <v>67</v>
      </c>
      <c r="C337" t="s" s="25">
        <v>577</v>
      </c>
      <c r="D337" s="27">
        <v>0.5</v>
      </c>
      <c r="E337" s="28">
        <v>5.93</v>
      </c>
      <c r="F337" s="28">
        <v>6.16</v>
      </c>
      <c r="G337" s="27">
        <v>0.002</v>
      </c>
      <c r="H337" s="30"/>
      <c r="I337" s="30"/>
      <c r="J337" s="30"/>
      <c r="K337" s="30"/>
      <c r="L337" s="31"/>
      <c r="M337" s="30"/>
      <c r="N337" s="30"/>
      <c r="O337" s="30"/>
      <c r="P337" s="30"/>
      <c r="Q337" s="31"/>
    </row>
    <row r="338" ht="15.75" customHeight="1">
      <c r="A338" t="s" s="25">
        <v>568</v>
      </c>
      <c r="B338" t="s" s="32">
        <v>67</v>
      </c>
      <c r="C338" t="s" s="25">
        <v>578</v>
      </c>
      <c r="D338" s="27">
        <v>0.5</v>
      </c>
      <c r="E338" s="28">
        <v>5.89</v>
      </c>
      <c r="F338" s="28">
        <v>5.87</v>
      </c>
      <c r="G338" s="27">
        <v>0.002</v>
      </c>
      <c r="H338" s="30"/>
      <c r="I338" s="30"/>
      <c r="J338" s="30"/>
      <c r="K338" s="30"/>
      <c r="L338" s="31"/>
      <c r="M338" s="30"/>
      <c r="N338" s="30"/>
      <c r="O338" s="30"/>
      <c r="P338" s="30"/>
      <c r="Q338" s="31"/>
    </row>
    <row r="339" ht="15.75" customHeight="1">
      <c r="A339" t="s" s="25">
        <v>568</v>
      </c>
      <c r="B339" t="s" s="32">
        <v>67</v>
      </c>
      <c r="C339" t="s" s="25">
        <v>579</v>
      </c>
      <c r="D339" s="27">
        <v>0.5</v>
      </c>
      <c r="E339" s="28">
        <v>5.75</v>
      </c>
      <c r="F339" s="28">
        <v>5.68</v>
      </c>
      <c r="G339" s="27">
        <v>0.002</v>
      </c>
      <c r="H339" s="30"/>
      <c r="I339" s="30"/>
      <c r="J339" s="30"/>
      <c r="K339" s="30"/>
      <c r="L339" t="s" s="34">
        <v>580</v>
      </c>
      <c r="M339" s="30"/>
      <c r="N339" s="30"/>
      <c r="O339" t="s" s="29">
        <v>64</v>
      </c>
      <c r="P339" s="30"/>
      <c r="Q339" t="s" s="34">
        <v>581</v>
      </c>
    </row>
    <row r="340" ht="15.75" customHeight="1">
      <c r="A340" t="s" s="25">
        <v>568</v>
      </c>
      <c r="B340" t="s" s="32">
        <v>67</v>
      </c>
      <c r="C340" t="s" s="25">
        <v>582</v>
      </c>
      <c r="D340" s="27">
        <v>0.25</v>
      </c>
      <c r="E340" s="28">
        <v>5.73</v>
      </c>
      <c r="F340" s="28">
        <v>5.73</v>
      </c>
      <c r="G340" s="27">
        <v>0.002</v>
      </c>
      <c r="H340" s="30"/>
      <c r="I340" s="30"/>
      <c r="J340" s="30"/>
      <c r="K340" s="30"/>
      <c r="L340" s="31"/>
      <c r="M340" s="30"/>
      <c r="N340" s="30"/>
      <c r="O340" s="30"/>
      <c r="P340" s="30"/>
      <c r="Q340" s="31"/>
    </row>
    <row r="341" ht="15.75" customHeight="1">
      <c r="A341" t="s" s="25">
        <v>568</v>
      </c>
      <c r="B341" t="s" s="32">
        <v>67</v>
      </c>
      <c r="C341" t="s" s="25">
        <v>583</v>
      </c>
      <c r="D341" s="27">
        <v>0.01</v>
      </c>
      <c r="E341" s="28">
        <v>5.94</v>
      </c>
      <c r="F341" s="28">
        <v>5.94</v>
      </c>
      <c r="G341" s="27">
        <v>0.001</v>
      </c>
      <c r="H341" s="30"/>
      <c r="I341" s="30"/>
      <c r="J341" s="30"/>
      <c r="K341" s="30"/>
      <c r="L341" s="31"/>
      <c r="M341" s="30"/>
      <c r="N341" s="30"/>
      <c r="O341" s="30"/>
      <c r="P341" s="30"/>
      <c r="Q341" s="31"/>
    </row>
    <row r="342" ht="15.75" customHeight="1">
      <c r="A342" t="s" s="25">
        <v>568</v>
      </c>
      <c r="B342" t="s" s="35">
        <v>86</v>
      </c>
      <c r="C342" t="s" s="25">
        <v>584</v>
      </c>
      <c r="D342" s="27">
        <v>0.95</v>
      </c>
      <c r="E342" s="28">
        <v>6.05</v>
      </c>
      <c r="F342" s="28">
        <v>6.1</v>
      </c>
      <c r="G342" s="27">
        <v>0.002</v>
      </c>
      <c r="H342" t="s" s="29">
        <v>64</v>
      </c>
      <c r="I342" s="30"/>
      <c r="J342" s="30"/>
      <c r="K342" s="30"/>
      <c r="L342" s="31"/>
      <c r="M342" s="30"/>
      <c r="N342" s="30"/>
      <c r="O342" s="30"/>
      <c r="P342" s="30"/>
      <c r="Q342" s="31"/>
    </row>
    <row r="343" ht="15.75" customHeight="1">
      <c r="A343" t="s" s="25">
        <v>568</v>
      </c>
      <c r="B343" t="s" s="35">
        <v>86</v>
      </c>
      <c r="C343" t="s" s="25">
        <v>585</v>
      </c>
      <c r="D343" s="27">
        <v>0.95</v>
      </c>
      <c r="E343" s="28">
        <v>6.39</v>
      </c>
      <c r="F343" s="28">
        <v>7.25</v>
      </c>
      <c r="G343" s="27">
        <v>0.146</v>
      </c>
      <c r="H343" t="s" s="29">
        <v>64</v>
      </c>
      <c r="I343" s="30"/>
      <c r="J343" s="30"/>
      <c r="K343" s="30"/>
      <c r="L343" s="31"/>
      <c r="M343" t="s" s="29">
        <v>64</v>
      </c>
      <c r="N343" s="30"/>
      <c r="O343" s="30"/>
      <c r="P343" s="30"/>
      <c r="Q343" t="s" s="34">
        <v>586</v>
      </c>
    </row>
    <row r="344" ht="15.75" customHeight="1">
      <c r="A344" t="s" s="25">
        <v>568</v>
      </c>
      <c r="B344" t="s" s="35">
        <v>86</v>
      </c>
      <c r="C344" t="s" s="25">
        <v>587</v>
      </c>
      <c r="D344" s="27">
        <v>0.75</v>
      </c>
      <c r="E344" s="28">
        <v>6.26</v>
      </c>
      <c r="F344" s="28">
        <v>7.23</v>
      </c>
      <c r="G344" s="27">
        <v>0.058</v>
      </c>
      <c r="H344" t="s" s="29">
        <v>64</v>
      </c>
      <c r="I344" s="33">
        <v>1</v>
      </c>
      <c r="J344" s="33">
        <v>1</v>
      </c>
      <c r="K344" s="33">
        <v>1</v>
      </c>
      <c r="L344" s="31"/>
      <c r="M344" s="30"/>
      <c r="N344" s="30"/>
      <c r="O344" s="30"/>
      <c r="P344" s="30"/>
      <c r="Q344" s="31"/>
    </row>
    <row r="345" ht="15.75" customHeight="1">
      <c r="A345" t="s" s="25">
        <v>568</v>
      </c>
      <c r="B345" t="s" s="35">
        <v>86</v>
      </c>
      <c r="C345" t="s" s="25">
        <v>588</v>
      </c>
      <c r="D345" s="27">
        <v>0.5</v>
      </c>
      <c r="E345" s="28">
        <v>6.09</v>
      </c>
      <c r="F345" s="28">
        <v>6.36</v>
      </c>
      <c r="G345" s="27">
        <v>0.018</v>
      </c>
      <c r="H345" t="s" s="29">
        <v>64</v>
      </c>
      <c r="I345" s="30"/>
      <c r="J345" s="33">
        <v>2</v>
      </c>
      <c r="K345" s="33">
        <v>2</v>
      </c>
      <c r="L345" t="s" s="34">
        <v>589</v>
      </c>
      <c r="M345" s="30"/>
      <c r="N345" s="30"/>
      <c r="O345" s="30"/>
      <c r="P345" s="30"/>
      <c r="Q345" s="31"/>
    </row>
    <row r="346" ht="15.75" customHeight="1">
      <c r="A346" t="s" s="25">
        <v>568</v>
      </c>
      <c r="B346" t="s" s="35">
        <v>86</v>
      </c>
      <c r="C346" t="s" s="25">
        <v>590</v>
      </c>
      <c r="D346" s="27">
        <v>0.5</v>
      </c>
      <c r="E346" s="28">
        <v>6.25</v>
      </c>
      <c r="F346" s="28">
        <v>6.5</v>
      </c>
      <c r="G346" s="27">
        <v>0.003</v>
      </c>
      <c r="H346" s="30"/>
      <c r="I346" s="30"/>
      <c r="J346" s="30"/>
      <c r="K346" s="30"/>
      <c r="L346" s="31"/>
      <c r="M346" s="30"/>
      <c r="N346" s="30"/>
      <c r="O346" s="30"/>
      <c r="P346" t="s" s="29">
        <v>64</v>
      </c>
      <c r="Q346" t="s" s="34">
        <v>591</v>
      </c>
    </row>
    <row r="347" ht="15.75" customHeight="1">
      <c r="A347" t="s" s="25">
        <v>568</v>
      </c>
      <c r="B347" t="s" s="35">
        <v>86</v>
      </c>
      <c r="C347" t="s" s="25">
        <v>592</v>
      </c>
      <c r="D347" s="27">
        <v>0.5</v>
      </c>
      <c r="E347" s="28">
        <v>6.17</v>
      </c>
      <c r="F347" s="28">
        <v>6.86</v>
      </c>
      <c r="G347" s="27">
        <v>0.012</v>
      </c>
      <c r="H347" s="30"/>
      <c r="I347" s="30"/>
      <c r="J347" s="30"/>
      <c r="K347" s="30"/>
      <c r="L347" s="31"/>
      <c r="M347" s="30"/>
      <c r="N347" s="30"/>
      <c r="O347" s="30"/>
      <c r="P347" s="30"/>
      <c r="Q347" s="31"/>
    </row>
    <row r="348" ht="15.75" customHeight="1">
      <c r="A348" t="s" s="25">
        <v>568</v>
      </c>
      <c r="B348" t="s" s="35">
        <v>86</v>
      </c>
      <c r="C348" t="s" s="25">
        <v>593</v>
      </c>
      <c r="D348" s="27">
        <v>0.25</v>
      </c>
      <c r="E348" s="28">
        <v>6.04</v>
      </c>
      <c r="F348" s="28">
        <v>6.21</v>
      </c>
      <c r="G348" s="27">
        <v>0.002</v>
      </c>
      <c r="H348" s="30"/>
      <c r="I348" s="30"/>
      <c r="J348" s="30"/>
      <c r="K348" s="30"/>
      <c r="L348" s="31"/>
      <c r="M348" s="30"/>
      <c r="N348" s="30"/>
      <c r="O348" s="30"/>
      <c r="P348" s="30"/>
      <c r="Q348" s="31"/>
    </row>
    <row r="349" ht="15.75" customHeight="1">
      <c r="A349" t="s" s="25">
        <v>568</v>
      </c>
      <c r="B349" t="s" s="35">
        <v>86</v>
      </c>
      <c r="C349" t="s" s="25">
        <v>594</v>
      </c>
      <c r="D349" s="27">
        <v>0.25</v>
      </c>
      <c r="E349" s="28">
        <v>6.08</v>
      </c>
      <c r="F349" s="28">
        <v>6.27</v>
      </c>
      <c r="G349" s="27">
        <v>0.002</v>
      </c>
      <c r="H349" s="30"/>
      <c r="I349" s="30"/>
      <c r="J349" s="30"/>
      <c r="K349" s="30"/>
      <c r="L349" s="31"/>
      <c r="M349" s="30"/>
      <c r="N349" t="s" s="29">
        <v>64</v>
      </c>
      <c r="O349" s="30"/>
      <c r="P349" s="30"/>
      <c r="Q349" t="s" s="34">
        <v>379</v>
      </c>
    </row>
    <row r="350" ht="15.75" customHeight="1">
      <c r="A350" t="s" s="25">
        <v>568</v>
      </c>
      <c r="B350" t="s" s="36">
        <v>100</v>
      </c>
      <c r="C350" t="s" s="25">
        <v>595</v>
      </c>
      <c r="D350" s="27">
        <v>0.75</v>
      </c>
      <c r="E350" s="28">
        <v>6.21</v>
      </c>
      <c r="F350" s="28">
        <v>7.44</v>
      </c>
      <c r="G350" s="27">
        <v>0.246</v>
      </c>
      <c r="H350" t="s" s="29">
        <v>64</v>
      </c>
      <c r="I350" s="33">
        <v>2</v>
      </c>
      <c r="J350" s="30"/>
      <c r="K350" s="30"/>
      <c r="L350" s="31"/>
      <c r="M350" s="30"/>
      <c r="N350" s="30"/>
      <c r="O350" s="30"/>
      <c r="P350" s="30"/>
      <c r="Q350" s="31"/>
    </row>
    <row r="351" ht="15.75" customHeight="1">
      <c r="A351" t="s" s="25">
        <v>568</v>
      </c>
      <c r="B351" t="s" s="36">
        <v>100</v>
      </c>
      <c r="C351" t="s" s="25">
        <v>596</v>
      </c>
      <c r="D351" s="27">
        <v>0.75</v>
      </c>
      <c r="E351" s="28">
        <v>6.35</v>
      </c>
      <c r="F351" s="28">
        <v>7.23</v>
      </c>
      <c r="G351" s="27">
        <v>0.05</v>
      </c>
      <c r="H351" t="s" s="29">
        <v>64</v>
      </c>
      <c r="I351" s="30"/>
      <c r="J351" s="30"/>
      <c r="K351" s="30"/>
      <c r="L351" s="31"/>
      <c r="M351" t="s" s="29">
        <v>64</v>
      </c>
      <c r="N351" s="30"/>
      <c r="O351" s="30"/>
      <c r="P351" s="30"/>
      <c r="Q351" t="s" s="34">
        <v>597</v>
      </c>
    </row>
    <row r="352" ht="15.75" customHeight="1">
      <c r="A352" t="s" s="25">
        <v>568</v>
      </c>
      <c r="B352" t="s" s="36">
        <v>100</v>
      </c>
      <c r="C352" t="s" s="25">
        <v>598</v>
      </c>
      <c r="D352" s="27">
        <v>0.5</v>
      </c>
      <c r="E352" s="28">
        <v>6.04</v>
      </c>
      <c r="F352" s="28">
        <v>6.33</v>
      </c>
      <c r="G352" s="27">
        <v>0.002</v>
      </c>
      <c r="H352" s="30"/>
      <c r="I352" s="30"/>
      <c r="J352" s="30"/>
      <c r="K352" s="30"/>
      <c r="L352" s="31"/>
      <c r="M352" s="30"/>
      <c r="N352" s="30"/>
      <c r="O352" s="30"/>
      <c r="P352" s="30"/>
      <c r="Q352" s="31"/>
    </row>
    <row r="353" ht="15.75" customHeight="1">
      <c r="A353" t="s" s="25">
        <v>568</v>
      </c>
      <c r="B353" t="s" s="36">
        <v>100</v>
      </c>
      <c r="C353" t="s" s="25">
        <v>599</v>
      </c>
      <c r="D353" s="27">
        <v>0.5</v>
      </c>
      <c r="E353" s="28">
        <v>6.19</v>
      </c>
      <c r="F353" s="28">
        <v>6.85</v>
      </c>
      <c r="G353" s="27">
        <v>0.01</v>
      </c>
      <c r="H353" s="30"/>
      <c r="I353" s="30"/>
      <c r="J353" s="30"/>
      <c r="K353" s="33">
        <v>3</v>
      </c>
      <c r="L353" t="s" s="34">
        <v>600</v>
      </c>
      <c r="M353" s="30"/>
      <c r="N353" s="30"/>
      <c r="O353" s="30"/>
      <c r="P353" s="30"/>
      <c r="Q353" s="31"/>
    </row>
    <row r="354" ht="15.75" customHeight="1">
      <c r="A354" t="s" s="25">
        <v>568</v>
      </c>
      <c r="B354" t="s" s="36">
        <v>100</v>
      </c>
      <c r="C354" t="s" s="25">
        <v>59</v>
      </c>
      <c r="D354" s="27">
        <v>0.25</v>
      </c>
      <c r="E354" s="28">
        <v>6</v>
      </c>
      <c r="F354" s="28">
        <v>6.45</v>
      </c>
      <c r="G354" s="27">
        <v>0.002</v>
      </c>
      <c r="H354" s="30"/>
      <c r="I354" s="30"/>
      <c r="J354" s="30"/>
      <c r="K354" s="30"/>
      <c r="L354" s="31"/>
      <c r="M354" s="30"/>
      <c r="N354" s="30"/>
      <c r="O354" s="30"/>
      <c r="P354" s="30"/>
      <c r="Q354" s="31"/>
    </row>
    <row r="355" ht="15.75" customHeight="1">
      <c r="A355" t="s" s="25">
        <v>568</v>
      </c>
      <c r="B355" t="s" s="36">
        <v>100</v>
      </c>
      <c r="C355" t="s" s="25">
        <v>601</v>
      </c>
      <c r="D355" s="27">
        <v>0.01</v>
      </c>
      <c r="E355" s="28">
        <v>5.72</v>
      </c>
      <c r="F355" s="28">
        <v>6</v>
      </c>
      <c r="G355" s="27">
        <v>0.002</v>
      </c>
      <c r="H355" s="30"/>
      <c r="I355" s="30"/>
      <c r="J355" s="30"/>
      <c r="K355" s="30"/>
      <c r="L355" s="31"/>
      <c r="M355" s="30"/>
      <c r="N355" s="30"/>
      <c r="O355" s="30"/>
      <c r="P355" s="30"/>
      <c r="Q355" s="31"/>
    </row>
    <row r="356" ht="15.75" customHeight="1">
      <c r="A356" t="s" s="25">
        <v>602</v>
      </c>
      <c r="B356" t="s" s="26">
        <v>62</v>
      </c>
      <c r="C356" t="s" s="25">
        <v>603</v>
      </c>
      <c r="D356" s="27">
        <v>0.75</v>
      </c>
      <c r="E356" s="28">
        <v>6.18</v>
      </c>
      <c r="F356" s="28">
        <v>5.09</v>
      </c>
      <c r="G356" s="27">
        <v>0.002</v>
      </c>
      <c r="H356" t="s" s="29">
        <v>64</v>
      </c>
      <c r="I356" s="30"/>
      <c r="J356" s="30"/>
      <c r="K356" s="30"/>
      <c r="L356" t="s" s="34">
        <v>604</v>
      </c>
      <c r="M356" s="30"/>
      <c r="N356" s="30"/>
      <c r="O356" s="30"/>
      <c r="P356" s="30"/>
      <c r="Q356" s="31"/>
    </row>
    <row r="357" ht="15.75" customHeight="1">
      <c r="A357" t="s" s="25">
        <v>602</v>
      </c>
      <c r="B357" t="s" s="26">
        <v>62</v>
      </c>
      <c r="C357" t="s" s="25">
        <v>605</v>
      </c>
      <c r="D357" s="27">
        <v>0.5</v>
      </c>
      <c r="E357" s="28">
        <v>6.03</v>
      </c>
      <c r="F357" s="28">
        <v>4.76</v>
      </c>
      <c r="G357" s="27">
        <v>0.004</v>
      </c>
      <c r="H357" s="30"/>
      <c r="I357" s="30"/>
      <c r="J357" s="30"/>
      <c r="K357" s="30"/>
      <c r="L357" s="31"/>
      <c r="M357" s="30"/>
      <c r="N357" s="30"/>
      <c r="O357" s="30"/>
      <c r="P357" s="30"/>
      <c r="Q357" s="31"/>
    </row>
    <row r="358" ht="15.75" customHeight="1">
      <c r="A358" t="s" s="25">
        <v>602</v>
      </c>
      <c r="B358" t="s" s="26">
        <v>62</v>
      </c>
      <c r="C358" t="s" s="25">
        <v>606</v>
      </c>
      <c r="D358" s="27">
        <v>0.25</v>
      </c>
      <c r="E358" s="28">
        <v>0</v>
      </c>
      <c r="F358" s="28">
        <v>0</v>
      </c>
      <c r="G358" s="27">
        <v>0.002</v>
      </c>
      <c r="H358" s="30"/>
      <c r="I358" s="30"/>
      <c r="J358" s="30"/>
      <c r="K358" s="30"/>
      <c r="L358" t="s" s="34">
        <v>607</v>
      </c>
      <c r="M358" s="30"/>
      <c r="N358" s="30"/>
      <c r="O358" s="30"/>
      <c r="P358" s="30"/>
      <c r="Q358" s="31"/>
    </row>
    <row r="359" ht="15.75" customHeight="1">
      <c r="A359" t="s" s="25">
        <v>602</v>
      </c>
      <c r="B359" t="s" s="32">
        <v>67</v>
      </c>
      <c r="C359" t="s" s="25">
        <v>608</v>
      </c>
      <c r="D359" s="27">
        <v>0.95</v>
      </c>
      <c r="E359" s="28">
        <v>5.92</v>
      </c>
      <c r="F359" s="28">
        <v>5.92</v>
      </c>
      <c r="G359" s="27">
        <v>0.002</v>
      </c>
      <c r="H359" t="s" s="29">
        <v>64</v>
      </c>
      <c r="I359" s="30"/>
      <c r="J359" s="30"/>
      <c r="K359" s="30"/>
      <c r="L359" s="31"/>
      <c r="M359" s="30"/>
      <c r="N359" s="30"/>
      <c r="O359" s="30"/>
      <c r="P359" s="30"/>
      <c r="Q359" s="31"/>
    </row>
    <row r="360" ht="15.75" customHeight="1">
      <c r="A360" t="s" s="25">
        <v>602</v>
      </c>
      <c r="B360" t="s" s="32">
        <v>67</v>
      </c>
      <c r="C360" t="s" s="25">
        <v>609</v>
      </c>
      <c r="D360" s="27">
        <v>0.95</v>
      </c>
      <c r="E360" s="28">
        <v>5.91</v>
      </c>
      <c r="F360" s="28">
        <v>6.01</v>
      </c>
      <c r="G360" s="27">
        <v>0.006</v>
      </c>
      <c r="H360" t="s" s="29">
        <v>64</v>
      </c>
      <c r="I360" s="30"/>
      <c r="J360" s="30"/>
      <c r="K360" s="30"/>
      <c r="L360" s="31"/>
      <c r="M360" s="30"/>
      <c r="N360" s="30"/>
      <c r="O360" t="s" s="29">
        <v>64</v>
      </c>
      <c r="P360" s="30"/>
      <c r="Q360" t="s" s="34">
        <v>610</v>
      </c>
    </row>
    <row r="361" ht="15.75" customHeight="1">
      <c r="A361" t="s" s="25">
        <v>602</v>
      </c>
      <c r="B361" t="s" s="32">
        <v>67</v>
      </c>
      <c r="C361" t="s" s="25">
        <v>611</v>
      </c>
      <c r="D361" s="27">
        <v>0.95</v>
      </c>
      <c r="E361" s="28">
        <v>6.06</v>
      </c>
      <c r="F361" s="28">
        <v>6.09</v>
      </c>
      <c r="G361" s="27">
        <v>0.008</v>
      </c>
      <c r="H361" t="s" s="29">
        <v>64</v>
      </c>
      <c r="I361" s="33">
        <v>1</v>
      </c>
      <c r="J361" s="30"/>
      <c r="K361" s="33">
        <v>3</v>
      </c>
      <c r="L361" s="31"/>
      <c r="M361" t="s" s="29">
        <v>64</v>
      </c>
      <c r="N361" s="30"/>
      <c r="O361" s="30"/>
      <c r="P361" s="30"/>
      <c r="Q361" t="s" s="34">
        <v>612</v>
      </c>
    </row>
    <row r="362" ht="15.75" customHeight="1">
      <c r="A362" t="s" s="25">
        <v>602</v>
      </c>
      <c r="B362" t="s" s="32">
        <v>67</v>
      </c>
      <c r="C362" t="s" s="25">
        <v>613</v>
      </c>
      <c r="D362" s="27">
        <v>0.75</v>
      </c>
      <c r="E362" s="28">
        <v>5.79</v>
      </c>
      <c r="F362" s="28">
        <v>5.72</v>
      </c>
      <c r="G362" s="27">
        <v>0.002</v>
      </c>
      <c r="H362" t="s" s="29">
        <v>64</v>
      </c>
      <c r="I362" s="30"/>
      <c r="J362" s="30"/>
      <c r="K362" s="30"/>
      <c r="L362" s="31"/>
      <c r="M362" s="30"/>
      <c r="N362" s="30"/>
      <c r="O362" s="30"/>
      <c r="P362" s="30"/>
      <c r="Q362" s="31"/>
    </row>
    <row r="363" ht="15.75" customHeight="1">
      <c r="A363" t="s" s="25">
        <v>602</v>
      </c>
      <c r="B363" t="s" s="32">
        <v>67</v>
      </c>
      <c r="C363" t="s" s="25">
        <v>614</v>
      </c>
      <c r="D363" s="27">
        <v>0.5</v>
      </c>
      <c r="E363" s="28">
        <v>5.75</v>
      </c>
      <c r="F363" s="28">
        <v>5.7</v>
      </c>
      <c r="G363" s="27">
        <v>0.002</v>
      </c>
      <c r="H363" s="30"/>
      <c r="I363" s="30"/>
      <c r="J363" s="30"/>
      <c r="K363" s="30"/>
      <c r="L363" s="31"/>
      <c r="M363" s="30"/>
      <c r="N363" s="30"/>
      <c r="O363" s="30"/>
      <c r="P363" s="30"/>
      <c r="Q363" s="31"/>
    </row>
    <row r="364" ht="15.75" customHeight="1">
      <c r="A364" t="s" s="25">
        <v>602</v>
      </c>
      <c r="B364" t="s" s="32">
        <v>67</v>
      </c>
      <c r="C364" t="s" s="25">
        <v>615</v>
      </c>
      <c r="D364" s="27">
        <v>0.25</v>
      </c>
      <c r="E364" s="28">
        <v>6</v>
      </c>
      <c r="F364" s="28">
        <v>6</v>
      </c>
      <c r="G364" s="27">
        <v>0.002</v>
      </c>
      <c r="H364" s="30"/>
      <c r="I364" s="30"/>
      <c r="J364" s="30"/>
      <c r="K364" s="30"/>
      <c r="L364" s="31"/>
      <c r="M364" s="30"/>
      <c r="N364" s="30"/>
      <c r="O364" s="30"/>
      <c r="P364" s="30"/>
      <c r="Q364" s="31"/>
    </row>
    <row r="365" ht="15.75" customHeight="1">
      <c r="A365" t="s" s="25">
        <v>602</v>
      </c>
      <c r="B365" t="s" s="32">
        <v>67</v>
      </c>
      <c r="C365" t="s" s="25">
        <v>616</v>
      </c>
      <c r="D365" s="27">
        <v>0.25</v>
      </c>
      <c r="E365" s="28">
        <v>5.59</v>
      </c>
      <c r="F365" s="28">
        <v>5.36</v>
      </c>
      <c r="G365" s="27">
        <v>0.002</v>
      </c>
      <c r="H365" s="30"/>
      <c r="I365" s="30"/>
      <c r="J365" s="30"/>
      <c r="K365" s="30"/>
      <c r="L365" s="31"/>
      <c r="M365" s="30"/>
      <c r="N365" s="30"/>
      <c r="O365" s="30"/>
      <c r="P365" s="30"/>
      <c r="Q365" s="31"/>
    </row>
    <row r="366" ht="15.75" customHeight="1">
      <c r="A366" t="s" s="25">
        <v>602</v>
      </c>
      <c r="B366" t="s" s="32">
        <v>67</v>
      </c>
      <c r="C366" t="s" s="25">
        <v>617</v>
      </c>
      <c r="D366" s="27">
        <v>0.25</v>
      </c>
      <c r="E366" s="28">
        <v>5.96</v>
      </c>
      <c r="F366" s="28">
        <v>5.83</v>
      </c>
      <c r="G366" s="27">
        <v>0.002</v>
      </c>
      <c r="H366" s="30"/>
      <c r="I366" s="30"/>
      <c r="J366" s="30"/>
      <c r="K366" s="30"/>
      <c r="L366" s="31"/>
      <c r="M366" s="30"/>
      <c r="N366" s="30"/>
      <c r="O366" s="30"/>
      <c r="P366" s="30"/>
      <c r="Q366" s="31"/>
    </row>
    <row r="367" ht="15.75" customHeight="1">
      <c r="A367" t="s" s="25">
        <v>602</v>
      </c>
      <c r="B367" t="s" s="35">
        <v>86</v>
      </c>
      <c r="C367" t="s" s="25">
        <v>618</v>
      </c>
      <c r="D367" s="27">
        <v>0.95</v>
      </c>
      <c r="E367" s="28">
        <v>6.17</v>
      </c>
      <c r="F367" s="28">
        <v>6.48</v>
      </c>
      <c r="G367" s="27">
        <v>0.006</v>
      </c>
      <c r="H367" t="s" s="29">
        <v>64</v>
      </c>
      <c r="I367" s="33">
        <v>2</v>
      </c>
      <c r="J367" s="33">
        <v>1</v>
      </c>
      <c r="K367" s="33">
        <v>1</v>
      </c>
      <c r="L367" s="31"/>
      <c r="M367" t="s" s="29">
        <v>64</v>
      </c>
      <c r="N367" s="30"/>
      <c r="O367" s="30"/>
      <c r="P367" s="30"/>
      <c r="Q367" t="s" s="34">
        <v>619</v>
      </c>
    </row>
    <row r="368" ht="15.75" customHeight="1">
      <c r="A368" t="s" s="25">
        <v>602</v>
      </c>
      <c r="B368" t="s" s="35">
        <v>86</v>
      </c>
      <c r="C368" t="s" s="25">
        <v>620</v>
      </c>
      <c r="D368" s="27">
        <v>0.95</v>
      </c>
      <c r="E368" s="28">
        <v>6.01</v>
      </c>
      <c r="F368" s="28">
        <v>6.05</v>
      </c>
      <c r="G368" s="27">
        <v>0.002</v>
      </c>
      <c r="H368" t="s" s="29">
        <v>64</v>
      </c>
      <c r="I368" s="30"/>
      <c r="J368" s="30"/>
      <c r="K368" s="30"/>
      <c r="L368" s="31"/>
      <c r="M368" s="30"/>
      <c r="N368" s="30"/>
      <c r="O368" s="30"/>
      <c r="P368" s="30"/>
      <c r="Q368" s="31"/>
    </row>
    <row r="369" ht="15.75" customHeight="1">
      <c r="A369" t="s" s="25">
        <v>602</v>
      </c>
      <c r="B369" t="s" s="35">
        <v>86</v>
      </c>
      <c r="C369" t="s" s="25">
        <v>621</v>
      </c>
      <c r="D369" s="27">
        <v>0.5</v>
      </c>
      <c r="E369" s="28">
        <v>0</v>
      </c>
      <c r="F369" s="28">
        <v>0</v>
      </c>
      <c r="G369" s="27">
        <v>0.002</v>
      </c>
      <c r="H369" s="30"/>
      <c r="I369" s="30"/>
      <c r="J369" s="30"/>
      <c r="K369" s="30"/>
      <c r="L369" t="s" s="34">
        <v>622</v>
      </c>
      <c r="M369" s="30"/>
      <c r="N369" s="30"/>
      <c r="O369" s="30"/>
      <c r="P369" s="30"/>
      <c r="Q369" s="31"/>
    </row>
    <row r="370" ht="15.75" customHeight="1">
      <c r="A370" t="s" s="25">
        <v>602</v>
      </c>
      <c r="B370" t="s" s="35">
        <v>86</v>
      </c>
      <c r="C370" t="s" s="25">
        <v>623</v>
      </c>
      <c r="D370" s="27">
        <v>0.5</v>
      </c>
      <c r="E370" s="28">
        <v>5.89</v>
      </c>
      <c r="F370" s="28">
        <v>5.98</v>
      </c>
      <c r="G370" s="27">
        <v>0.002</v>
      </c>
      <c r="H370" t="s" s="29">
        <v>64</v>
      </c>
      <c r="I370" s="30"/>
      <c r="J370" s="33">
        <v>2</v>
      </c>
      <c r="K370" s="33">
        <v>2</v>
      </c>
      <c r="L370" t="s" s="34">
        <v>624</v>
      </c>
      <c r="M370" s="30"/>
      <c r="N370" s="30"/>
      <c r="O370" s="30"/>
      <c r="P370" s="30"/>
      <c r="Q370" s="31"/>
    </row>
    <row r="371" ht="15.75" customHeight="1">
      <c r="A371" t="s" s="25">
        <v>602</v>
      </c>
      <c r="B371" t="s" s="35">
        <v>86</v>
      </c>
      <c r="C371" t="s" s="25">
        <v>625</v>
      </c>
      <c r="D371" s="27">
        <v>0.5</v>
      </c>
      <c r="E371" s="28">
        <v>5.85</v>
      </c>
      <c r="F371" s="28">
        <v>5.95</v>
      </c>
      <c r="G371" s="27">
        <v>0.002</v>
      </c>
      <c r="H371" s="30"/>
      <c r="I371" s="30"/>
      <c r="J371" s="30"/>
      <c r="K371" s="30"/>
      <c r="L371" t="s" s="34">
        <v>626</v>
      </c>
      <c r="M371" s="30"/>
      <c r="N371" t="s" s="29">
        <v>64</v>
      </c>
      <c r="O371" s="30"/>
      <c r="P371" s="30"/>
      <c r="Q371" t="s" s="34">
        <v>627</v>
      </c>
    </row>
    <row r="372" ht="15.75" customHeight="1">
      <c r="A372" t="s" s="25">
        <v>602</v>
      </c>
      <c r="B372" t="s" s="35">
        <v>86</v>
      </c>
      <c r="C372" t="s" s="25">
        <v>628</v>
      </c>
      <c r="D372" s="27">
        <v>0.25</v>
      </c>
      <c r="E372" s="28">
        <v>5.94</v>
      </c>
      <c r="F372" s="28">
        <v>6.05</v>
      </c>
      <c r="G372" s="27">
        <v>0.002</v>
      </c>
      <c r="H372" s="30"/>
      <c r="I372" s="30"/>
      <c r="J372" s="30"/>
      <c r="K372" s="30"/>
      <c r="L372" s="31"/>
      <c r="M372" s="30"/>
      <c r="N372" s="30"/>
      <c r="O372" s="30"/>
      <c r="P372" s="30"/>
      <c r="Q372" s="31"/>
    </row>
    <row r="373" ht="15.75" customHeight="1">
      <c r="A373" t="s" s="25">
        <v>602</v>
      </c>
      <c r="B373" t="s" s="35">
        <v>86</v>
      </c>
      <c r="C373" t="s" s="25">
        <v>629</v>
      </c>
      <c r="D373" s="27">
        <v>0.01</v>
      </c>
      <c r="E373" s="28">
        <v>6</v>
      </c>
      <c r="F373" s="28">
        <v>6</v>
      </c>
      <c r="G373" s="27">
        <v>0.001</v>
      </c>
      <c r="H373" s="30"/>
      <c r="I373" s="30"/>
      <c r="J373" s="30"/>
      <c r="K373" s="30"/>
      <c r="L373" s="31"/>
      <c r="M373" s="30"/>
      <c r="N373" s="30"/>
      <c r="O373" s="30"/>
      <c r="P373" s="30"/>
      <c r="Q373" s="31"/>
    </row>
    <row r="374" ht="15.75" customHeight="1">
      <c r="A374" t="s" s="25">
        <v>602</v>
      </c>
      <c r="B374" t="s" s="35">
        <v>86</v>
      </c>
      <c r="C374" t="s" s="25">
        <v>630</v>
      </c>
      <c r="D374" s="27">
        <v>0.01</v>
      </c>
      <c r="E374" s="28">
        <v>5.79</v>
      </c>
      <c r="F374" s="28">
        <v>5.81</v>
      </c>
      <c r="G374" s="27">
        <v>0.001</v>
      </c>
      <c r="H374" s="30"/>
      <c r="I374" s="30"/>
      <c r="J374" s="30"/>
      <c r="K374" s="30"/>
      <c r="L374" s="31"/>
      <c r="M374" s="30"/>
      <c r="N374" s="30"/>
      <c r="O374" s="30"/>
      <c r="P374" s="30"/>
      <c r="Q374" s="31"/>
    </row>
    <row r="375" ht="15.75" customHeight="1">
      <c r="A375" t="s" s="25">
        <v>602</v>
      </c>
      <c r="B375" t="s" s="36">
        <v>100</v>
      </c>
      <c r="C375" t="s" s="25">
        <v>631</v>
      </c>
      <c r="D375" s="27">
        <v>0.75</v>
      </c>
      <c r="E375" s="28">
        <v>0</v>
      </c>
      <c r="F375" s="28">
        <v>0</v>
      </c>
      <c r="G375" s="27">
        <v>0.008</v>
      </c>
      <c r="H375" t="s" s="29">
        <v>64</v>
      </c>
      <c r="I375" s="33">
        <v>3</v>
      </c>
      <c r="J375" s="30"/>
      <c r="K375" s="30"/>
      <c r="L375" t="s" s="34">
        <v>632</v>
      </c>
      <c r="M375" s="30"/>
      <c r="N375" s="30"/>
      <c r="O375" s="30"/>
      <c r="P375" s="30"/>
      <c r="Q375" s="31"/>
    </row>
    <row r="376" ht="15.75" customHeight="1">
      <c r="A376" t="s" s="25">
        <v>602</v>
      </c>
      <c r="B376" t="s" s="36">
        <v>100</v>
      </c>
      <c r="C376" t="s" s="25">
        <v>633</v>
      </c>
      <c r="D376" s="27">
        <v>0.5</v>
      </c>
      <c r="E376" s="28">
        <v>6</v>
      </c>
      <c r="F376" s="28">
        <v>6.88</v>
      </c>
      <c r="G376" s="27">
        <v>0.002</v>
      </c>
      <c r="H376" s="30"/>
      <c r="I376" s="30"/>
      <c r="J376" s="30"/>
      <c r="K376" s="30"/>
      <c r="L376" t="s" s="34">
        <v>634</v>
      </c>
      <c r="M376" s="30"/>
      <c r="N376" s="30"/>
      <c r="O376" s="30"/>
      <c r="P376" t="s" s="29">
        <v>64</v>
      </c>
      <c r="Q376" t="s" s="34">
        <v>635</v>
      </c>
    </row>
    <row r="377" ht="15.75" customHeight="1">
      <c r="A377" t="s" s="25">
        <v>602</v>
      </c>
      <c r="B377" t="s" s="36">
        <v>100</v>
      </c>
      <c r="C377" t="s" s="25">
        <v>636</v>
      </c>
      <c r="D377" s="27">
        <v>0.5</v>
      </c>
      <c r="E377" s="28">
        <v>0</v>
      </c>
      <c r="F377" s="28">
        <v>0</v>
      </c>
      <c r="G377" s="27">
        <v>0.002</v>
      </c>
      <c r="H377" t="s" s="29">
        <v>64</v>
      </c>
      <c r="I377" s="30"/>
      <c r="J377" s="30"/>
      <c r="K377" s="30"/>
      <c r="L377" t="s" s="34">
        <v>637</v>
      </c>
      <c r="M377" s="30"/>
      <c r="N377" s="30"/>
      <c r="O377" s="30"/>
      <c r="P377" s="30"/>
      <c r="Q377" s="31"/>
    </row>
    <row r="378" ht="15.75" customHeight="1">
      <c r="A378" t="s" s="25">
        <v>602</v>
      </c>
      <c r="B378" t="s" s="36">
        <v>100</v>
      </c>
      <c r="C378" t="s" s="25">
        <v>638</v>
      </c>
      <c r="D378" s="27">
        <v>0.5</v>
      </c>
      <c r="E378" s="28">
        <v>0</v>
      </c>
      <c r="F378" s="28">
        <v>0</v>
      </c>
      <c r="G378" s="27">
        <v>0.002</v>
      </c>
      <c r="H378" t="s" s="29">
        <v>64</v>
      </c>
      <c r="I378" s="30"/>
      <c r="J378" s="30"/>
      <c r="K378" s="30"/>
      <c r="L378" t="s" s="34">
        <v>639</v>
      </c>
      <c r="M378" s="30"/>
      <c r="N378" s="30"/>
      <c r="O378" s="30"/>
      <c r="P378" s="30"/>
      <c r="Q378" s="31"/>
    </row>
    <row r="379" ht="15.75" customHeight="1">
      <c r="A379" t="s" s="25">
        <v>602</v>
      </c>
      <c r="B379" t="s" s="36">
        <v>100</v>
      </c>
      <c r="C379" t="s" s="25">
        <v>640</v>
      </c>
      <c r="D379" s="27">
        <v>0.01</v>
      </c>
      <c r="E379" s="28">
        <v>0</v>
      </c>
      <c r="F379" s="28">
        <v>0</v>
      </c>
      <c r="G379" s="27">
        <v>0.002</v>
      </c>
      <c r="H379" s="30"/>
      <c r="I379" s="30"/>
      <c r="J379" s="30"/>
      <c r="K379" s="30"/>
      <c r="L379" s="31"/>
      <c r="M379" s="30"/>
      <c r="N379" s="30"/>
      <c r="O379" s="30"/>
      <c r="P379" s="30"/>
      <c r="Q379" s="31"/>
    </row>
    <row r="380" ht="15.75" customHeight="1">
      <c r="A380" t="s" s="25">
        <v>641</v>
      </c>
      <c r="B380" t="s" s="26">
        <v>62</v>
      </c>
      <c r="C380" t="s" s="25">
        <v>642</v>
      </c>
      <c r="D380" s="27">
        <v>0.95</v>
      </c>
      <c r="E380" s="28">
        <v>6.26</v>
      </c>
      <c r="F380" s="28">
        <v>5.44</v>
      </c>
      <c r="G380" s="27">
        <v>0.08400000000000001</v>
      </c>
      <c r="H380" t="s" s="29">
        <v>64</v>
      </c>
      <c r="I380" s="30"/>
      <c r="J380" s="30"/>
      <c r="K380" s="30"/>
      <c r="L380" s="31"/>
      <c r="M380" s="30"/>
      <c r="N380" s="30"/>
      <c r="O380" s="30"/>
      <c r="P380" s="30"/>
      <c r="Q380" s="31"/>
    </row>
    <row r="381" ht="15.75" customHeight="1">
      <c r="A381" t="s" s="25">
        <v>641</v>
      </c>
      <c r="B381" t="s" s="26">
        <v>62</v>
      </c>
      <c r="C381" t="s" s="25">
        <v>643</v>
      </c>
      <c r="D381" s="27">
        <v>0.01</v>
      </c>
      <c r="E381" s="28">
        <v>0</v>
      </c>
      <c r="F381" s="28">
        <v>0</v>
      </c>
      <c r="G381" s="27">
        <v>0.002</v>
      </c>
      <c r="H381" s="30"/>
      <c r="I381" s="30"/>
      <c r="J381" s="30"/>
      <c r="K381" s="30"/>
      <c r="L381" s="31"/>
      <c r="M381" s="30"/>
      <c r="N381" s="30"/>
      <c r="O381" s="30"/>
      <c r="P381" s="30"/>
      <c r="Q381" s="31"/>
    </row>
    <row r="382" ht="15.75" customHeight="1">
      <c r="A382" t="s" s="25">
        <v>641</v>
      </c>
      <c r="B382" t="s" s="26">
        <v>62</v>
      </c>
      <c r="C382" t="s" s="25">
        <v>644</v>
      </c>
      <c r="D382" s="27">
        <v>0.01</v>
      </c>
      <c r="E382" s="28">
        <v>0</v>
      </c>
      <c r="F382" s="28">
        <v>0</v>
      </c>
      <c r="G382" s="27">
        <v>0.002</v>
      </c>
      <c r="H382" s="30"/>
      <c r="I382" s="30"/>
      <c r="J382" s="30"/>
      <c r="K382" s="30"/>
      <c r="L382" s="31"/>
      <c r="M382" s="30"/>
      <c r="N382" s="30"/>
      <c r="O382" s="30"/>
      <c r="P382" s="30"/>
      <c r="Q382" s="31"/>
    </row>
    <row r="383" ht="15.75" customHeight="1">
      <c r="A383" t="s" s="25">
        <v>641</v>
      </c>
      <c r="B383" t="s" s="32">
        <v>67</v>
      </c>
      <c r="C383" t="s" s="25">
        <v>645</v>
      </c>
      <c r="D383" s="27">
        <v>0.95</v>
      </c>
      <c r="E383" s="28">
        <v>6.25</v>
      </c>
      <c r="F383" s="28">
        <v>6.51</v>
      </c>
      <c r="G383" s="27">
        <v>0.032</v>
      </c>
      <c r="H383" t="s" s="29">
        <v>64</v>
      </c>
      <c r="I383" s="30"/>
      <c r="J383" s="30"/>
      <c r="K383" s="30"/>
      <c r="L383" s="31"/>
      <c r="M383" s="30"/>
      <c r="N383" s="30"/>
      <c r="O383" s="30"/>
      <c r="P383" s="30"/>
      <c r="Q383" s="31"/>
    </row>
    <row r="384" ht="15.75" customHeight="1">
      <c r="A384" t="s" s="25">
        <v>641</v>
      </c>
      <c r="B384" t="s" s="32">
        <v>67</v>
      </c>
      <c r="C384" t="s" s="25">
        <v>646</v>
      </c>
      <c r="D384" s="27">
        <v>0.95</v>
      </c>
      <c r="E384" s="28">
        <v>6.08</v>
      </c>
      <c r="F384" s="28">
        <v>6.32</v>
      </c>
      <c r="G384" s="27">
        <v>0.022</v>
      </c>
      <c r="H384" t="s" s="29">
        <v>64</v>
      </c>
      <c r="I384" s="30"/>
      <c r="J384" s="30"/>
      <c r="K384" s="30"/>
      <c r="L384" s="31"/>
      <c r="M384" s="30"/>
      <c r="N384" s="30"/>
      <c r="O384" s="30"/>
      <c r="P384" s="30"/>
      <c r="Q384" s="31"/>
    </row>
    <row r="385" ht="15.75" customHeight="1">
      <c r="A385" t="s" s="25">
        <v>641</v>
      </c>
      <c r="B385" t="s" s="32">
        <v>67</v>
      </c>
      <c r="C385" t="s" s="25">
        <v>647</v>
      </c>
      <c r="D385" s="27">
        <v>0.95</v>
      </c>
      <c r="E385" s="28">
        <v>6.12</v>
      </c>
      <c r="F385" s="28">
        <v>6.47</v>
      </c>
      <c r="G385" s="27">
        <v>0.07000000000000001</v>
      </c>
      <c r="H385" t="s" s="29">
        <v>64</v>
      </c>
      <c r="I385" s="30"/>
      <c r="J385" s="30"/>
      <c r="K385" s="33">
        <v>3</v>
      </c>
      <c r="L385" s="31"/>
      <c r="M385" t="s" s="29">
        <v>64</v>
      </c>
      <c r="N385" s="30"/>
      <c r="O385" s="30"/>
      <c r="P385" s="30"/>
      <c r="Q385" t="s" s="34">
        <v>648</v>
      </c>
    </row>
    <row r="386" ht="15.75" customHeight="1">
      <c r="A386" t="s" s="25">
        <v>641</v>
      </c>
      <c r="B386" t="s" s="32">
        <v>67</v>
      </c>
      <c r="C386" t="s" s="25">
        <v>649</v>
      </c>
      <c r="D386" s="27">
        <v>0.75</v>
      </c>
      <c r="E386" s="28">
        <v>0</v>
      </c>
      <c r="F386" s="28">
        <v>0</v>
      </c>
      <c r="G386" s="27">
        <v>0.057</v>
      </c>
      <c r="H386" t="s" s="29">
        <v>64</v>
      </c>
      <c r="I386" s="30"/>
      <c r="J386" s="30"/>
      <c r="K386" s="30"/>
      <c r="L386" s="31"/>
      <c r="M386" s="30"/>
      <c r="N386" s="30"/>
      <c r="O386" s="30"/>
      <c r="P386" s="30"/>
      <c r="Q386" s="31"/>
    </row>
    <row r="387" ht="15.75" customHeight="1">
      <c r="A387" t="s" s="25">
        <v>641</v>
      </c>
      <c r="B387" t="s" s="32">
        <v>67</v>
      </c>
      <c r="C387" t="s" s="25">
        <v>650</v>
      </c>
      <c r="D387" s="27">
        <v>0.5</v>
      </c>
      <c r="E387" s="28">
        <v>5.98</v>
      </c>
      <c r="F387" s="28">
        <v>5.96</v>
      </c>
      <c r="G387" s="27">
        <v>0.002</v>
      </c>
      <c r="H387" s="30"/>
      <c r="I387" s="30"/>
      <c r="J387" s="30"/>
      <c r="K387" s="30"/>
      <c r="L387" s="31"/>
      <c r="M387" s="30"/>
      <c r="N387" s="30"/>
      <c r="O387" s="30"/>
      <c r="P387" s="30"/>
      <c r="Q387" s="31"/>
    </row>
    <row r="388" ht="15.75" customHeight="1">
      <c r="A388" t="s" s="25">
        <v>641</v>
      </c>
      <c r="B388" t="s" s="32">
        <v>67</v>
      </c>
      <c r="C388" t="s" s="25">
        <v>651</v>
      </c>
      <c r="D388" s="27">
        <v>0.5</v>
      </c>
      <c r="E388" s="28">
        <v>6.17</v>
      </c>
      <c r="F388" s="28">
        <v>6.41</v>
      </c>
      <c r="G388" s="27">
        <v>0.006</v>
      </c>
      <c r="H388" s="30"/>
      <c r="I388" s="30"/>
      <c r="J388" s="30"/>
      <c r="K388" s="30"/>
      <c r="L388" t="s" s="34">
        <v>652</v>
      </c>
      <c r="M388" s="30"/>
      <c r="N388" s="30"/>
      <c r="O388" s="30"/>
      <c r="P388" s="30"/>
      <c r="Q388" s="31"/>
    </row>
    <row r="389" ht="15.75" customHeight="1">
      <c r="A389" t="s" s="25">
        <v>641</v>
      </c>
      <c r="B389" t="s" s="32">
        <v>67</v>
      </c>
      <c r="C389" t="s" s="25">
        <v>653</v>
      </c>
      <c r="D389" s="27">
        <v>0.5</v>
      </c>
      <c r="E389" s="28">
        <v>0</v>
      </c>
      <c r="F389" s="28">
        <v>0</v>
      </c>
      <c r="G389" s="27">
        <v>0.007</v>
      </c>
      <c r="H389" t="s" s="29">
        <v>64</v>
      </c>
      <c r="I389" s="30"/>
      <c r="J389" s="30"/>
      <c r="K389" s="30"/>
      <c r="L389" t="s" s="34">
        <v>654</v>
      </c>
      <c r="M389" s="30"/>
      <c r="N389" s="30"/>
      <c r="O389" s="30"/>
      <c r="P389" s="30"/>
      <c r="Q389" s="31"/>
    </row>
    <row r="390" ht="15.75" customHeight="1">
      <c r="A390" t="s" s="25">
        <v>641</v>
      </c>
      <c r="B390" t="s" s="32">
        <v>67</v>
      </c>
      <c r="C390" t="s" s="25">
        <v>655</v>
      </c>
      <c r="D390" s="27">
        <v>0.5</v>
      </c>
      <c r="E390" s="28">
        <v>6.16</v>
      </c>
      <c r="F390" s="28">
        <v>6.5</v>
      </c>
      <c r="G390" s="27">
        <v>0.002</v>
      </c>
      <c r="H390" s="30"/>
      <c r="I390" s="30"/>
      <c r="J390" s="30"/>
      <c r="K390" s="30"/>
      <c r="L390" s="31"/>
      <c r="M390" s="30"/>
      <c r="N390" s="30"/>
      <c r="O390" s="30"/>
      <c r="P390" s="30"/>
      <c r="Q390" s="31"/>
    </row>
    <row r="391" ht="15.75" customHeight="1">
      <c r="A391" t="s" s="25">
        <v>641</v>
      </c>
      <c r="B391" t="s" s="32">
        <v>67</v>
      </c>
      <c r="C391" t="s" s="25">
        <v>656</v>
      </c>
      <c r="D391" s="27">
        <v>0.25</v>
      </c>
      <c r="E391" s="28">
        <v>5.94</v>
      </c>
      <c r="F391" s="28">
        <v>5.77</v>
      </c>
      <c r="G391" s="27">
        <v>0.003</v>
      </c>
      <c r="H391" s="30"/>
      <c r="I391" s="30"/>
      <c r="J391" s="30"/>
      <c r="K391" s="30"/>
      <c r="L391" s="31"/>
      <c r="M391" s="30"/>
      <c r="N391" s="30"/>
      <c r="O391" s="30"/>
      <c r="P391" s="30"/>
      <c r="Q391" s="31"/>
    </row>
    <row r="392" ht="15.75" customHeight="1">
      <c r="A392" t="s" s="25">
        <v>641</v>
      </c>
      <c r="B392" t="s" s="35">
        <v>86</v>
      </c>
      <c r="C392" t="s" s="25">
        <v>657</v>
      </c>
      <c r="D392" s="27">
        <v>0.95</v>
      </c>
      <c r="E392" s="28">
        <v>6.11</v>
      </c>
      <c r="F392" s="28">
        <v>6.22</v>
      </c>
      <c r="G392" s="27">
        <v>0.002</v>
      </c>
      <c r="H392" t="s" s="29">
        <v>64</v>
      </c>
      <c r="I392" s="30"/>
      <c r="J392" s="30"/>
      <c r="K392" s="30"/>
      <c r="L392" s="31"/>
      <c r="M392" s="30"/>
      <c r="N392" s="30"/>
      <c r="O392" t="s" s="29">
        <v>64</v>
      </c>
      <c r="P392" s="30"/>
      <c r="Q392" t="s" s="34">
        <v>658</v>
      </c>
    </row>
    <row r="393" ht="15.75" customHeight="1">
      <c r="A393" t="s" s="25">
        <v>641</v>
      </c>
      <c r="B393" t="s" s="35">
        <v>86</v>
      </c>
      <c r="C393" t="s" s="25">
        <v>659</v>
      </c>
      <c r="D393" s="27">
        <v>0.95</v>
      </c>
      <c r="E393" s="28">
        <v>6.26</v>
      </c>
      <c r="F393" s="28">
        <v>6.54</v>
      </c>
      <c r="G393" s="27">
        <v>0.026</v>
      </c>
      <c r="H393" t="s" s="29">
        <v>64</v>
      </c>
      <c r="I393" s="30"/>
      <c r="J393" s="30"/>
      <c r="K393" s="30"/>
      <c r="L393" s="31"/>
      <c r="M393" s="30"/>
      <c r="N393" s="30"/>
      <c r="O393" s="30"/>
      <c r="P393" s="30"/>
      <c r="Q393" s="31"/>
    </row>
    <row r="394" ht="15.75" customHeight="1">
      <c r="A394" t="s" s="25">
        <v>641</v>
      </c>
      <c r="B394" t="s" s="35">
        <v>86</v>
      </c>
      <c r="C394" t="s" s="25">
        <v>660</v>
      </c>
      <c r="D394" s="27">
        <v>0.5</v>
      </c>
      <c r="E394" s="28">
        <v>5.98</v>
      </c>
      <c r="F394" s="28">
        <v>6.1</v>
      </c>
      <c r="G394" s="27">
        <v>0.002</v>
      </c>
      <c r="H394" s="30"/>
      <c r="I394" s="30"/>
      <c r="J394" s="30"/>
      <c r="K394" s="30"/>
      <c r="L394" s="31"/>
      <c r="M394" s="30"/>
      <c r="N394" s="30"/>
      <c r="O394" s="30"/>
      <c r="P394" s="30"/>
      <c r="Q394" s="31"/>
    </row>
    <row r="395" ht="15.75" customHeight="1">
      <c r="A395" t="s" s="25">
        <v>641</v>
      </c>
      <c r="B395" t="s" s="35">
        <v>86</v>
      </c>
      <c r="C395" t="s" s="25">
        <v>661</v>
      </c>
      <c r="D395" s="27">
        <v>0.5</v>
      </c>
      <c r="E395" s="28">
        <v>6.04</v>
      </c>
      <c r="F395" s="28">
        <v>6.58</v>
      </c>
      <c r="G395" s="27">
        <v>0.002</v>
      </c>
      <c r="H395" s="30"/>
      <c r="I395" s="30"/>
      <c r="J395" s="30"/>
      <c r="K395" s="30"/>
      <c r="L395" t="s" s="34">
        <v>662</v>
      </c>
      <c r="M395" s="30"/>
      <c r="N395" s="30"/>
      <c r="O395" s="30"/>
      <c r="P395" s="30"/>
      <c r="Q395" s="31"/>
    </row>
    <row r="396" ht="15.75" customHeight="1">
      <c r="A396" t="s" s="25">
        <v>641</v>
      </c>
      <c r="B396" t="s" s="35">
        <v>86</v>
      </c>
      <c r="C396" t="s" s="25">
        <v>663</v>
      </c>
      <c r="D396" s="27">
        <v>0.5</v>
      </c>
      <c r="E396" s="28">
        <v>6.09</v>
      </c>
      <c r="F396" s="28">
        <v>6.48</v>
      </c>
      <c r="G396" s="27">
        <v>0.002</v>
      </c>
      <c r="H396" s="30"/>
      <c r="I396" s="30"/>
      <c r="J396" s="30"/>
      <c r="K396" s="30"/>
      <c r="L396" s="31"/>
      <c r="M396" s="30"/>
      <c r="N396" s="30"/>
      <c r="O396" s="30"/>
      <c r="P396" t="s" s="29">
        <v>64</v>
      </c>
      <c r="Q396" t="s" s="34">
        <v>664</v>
      </c>
    </row>
    <row r="397" ht="15.75" customHeight="1">
      <c r="A397" t="s" s="25">
        <v>641</v>
      </c>
      <c r="B397" t="s" s="36">
        <v>100</v>
      </c>
      <c r="C397" t="s" s="25">
        <v>665</v>
      </c>
      <c r="D397" s="27">
        <v>0.95</v>
      </c>
      <c r="E397" s="28">
        <v>6.72</v>
      </c>
      <c r="F397" s="28">
        <v>8.970000000000001</v>
      </c>
      <c r="G397" s="27">
        <v>0.352</v>
      </c>
      <c r="H397" t="s" s="29">
        <v>64</v>
      </c>
      <c r="I397" s="33">
        <v>1</v>
      </c>
      <c r="J397" s="30"/>
      <c r="K397" s="30"/>
      <c r="L397" s="31"/>
      <c r="M397" t="s" s="29">
        <v>64</v>
      </c>
      <c r="N397" s="30"/>
      <c r="O397" s="30"/>
      <c r="P397" s="30"/>
      <c r="Q397" t="s" s="34">
        <v>666</v>
      </c>
    </row>
    <row r="398" ht="15.75" customHeight="1">
      <c r="A398" t="s" s="25">
        <v>641</v>
      </c>
      <c r="B398" t="s" s="36">
        <v>100</v>
      </c>
      <c r="C398" t="s" s="25">
        <v>667</v>
      </c>
      <c r="D398" s="27">
        <v>0.75</v>
      </c>
      <c r="E398" s="28">
        <v>6.13</v>
      </c>
      <c r="F398" s="28">
        <v>6.83</v>
      </c>
      <c r="G398" s="27">
        <v>0.036</v>
      </c>
      <c r="H398" t="s" s="29">
        <v>64</v>
      </c>
      <c r="I398" s="33">
        <v>3</v>
      </c>
      <c r="J398" s="33">
        <v>2</v>
      </c>
      <c r="K398" s="33">
        <v>2</v>
      </c>
      <c r="L398" t="s" s="34">
        <v>668</v>
      </c>
      <c r="M398" s="30"/>
      <c r="N398" s="30"/>
      <c r="O398" s="30"/>
      <c r="P398" s="30"/>
      <c r="Q398" s="31"/>
    </row>
    <row r="399" ht="15.75" customHeight="1">
      <c r="A399" t="s" s="25">
        <v>641</v>
      </c>
      <c r="B399" t="s" s="36">
        <v>100</v>
      </c>
      <c r="C399" t="s" s="25">
        <v>669</v>
      </c>
      <c r="D399" s="27">
        <v>0.5</v>
      </c>
      <c r="E399" s="28">
        <v>5.93</v>
      </c>
      <c r="F399" s="28">
        <v>6.52</v>
      </c>
      <c r="G399" s="27">
        <v>0.044</v>
      </c>
      <c r="H399" s="30"/>
      <c r="I399" s="30"/>
      <c r="J399" s="30"/>
      <c r="K399" s="30"/>
      <c r="L399" t="s" s="34">
        <v>670</v>
      </c>
      <c r="M399" s="30"/>
      <c r="N399" s="30"/>
      <c r="O399" s="30"/>
      <c r="P399" s="30"/>
      <c r="Q399" s="31"/>
    </row>
    <row r="400" ht="15.75" customHeight="1">
      <c r="A400" t="s" s="25">
        <v>641</v>
      </c>
      <c r="B400" t="s" s="36">
        <v>100</v>
      </c>
      <c r="C400" t="s" s="25">
        <v>671</v>
      </c>
      <c r="D400" s="27">
        <v>0.5</v>
      </c>
      <c r="E400" s="28">
        <v>6.26</v>
      </c>
      <c r="F400" s="28">
        <v>6.74</v>
      </c>
      <c r="G400" s="27">
        <v>0.068</v>
      </c>
      <c r="H400" t="s" s="29">
        <v>64</v>
      </c>
      <c r="I400" s="33">
        <v>2</v>
      </c>
      <c r="J400" s="33">
        <v>1</v>
      </c>
      <c r="K400" s="33">
        <v>1</v>
      </c>
      <c r="L400" t="s" s="34">
        <v>672</v>
      </c>
      <c r="M400" s="30"/>
      <c r="N400" s="30"/>
      <c r="O400" s="30"/>
      <c r="P400" s="30"/>
      <c r="Q400" s="31"/>
    </row>
    <row r="401" ht="15.75" customHeight="1">
      <c r="A401" t="s" s="25">
        <v>641</v>
      </c>
      <c r="B401" t="s" s="36">
        <v>100</v>
      </c>
      <c r="C401" t="s" s="25">
        <v>673</v>
      </c>
      <c r="D401" s="27">
        <v>0.25</v>
      </c>
      <c r="E401" s="28">
        <v>5.93</v>
      </c>
      <c r="F401" s="28">
        <v>6.36</v>
      </c>
      <c r="G401" s="27">
        <v>0.002</v>
      </c>
      <c r="H401" s="30"/>
      <c r="I401" s="30"/>
      <c r="J401" s="30"/>
      <c r="K401" s="30"/>
      <c r="L401" s="31"/>
      <c r="M401" s="30"/>
      <c r="N401" t="s" s="29">
        <v>64</v>
      </c>
      <c r="O401" s="30"/>
      <c r="P401" s="30"/>
      <c r="Q401" t="s" s="34">
        <v>674</v>
      </c>
    </row>
    <row r="402" ht="15.75" customHeight="1">
      <c r="A402" t="s" s="25">
        <v>675</v>
      </c>
      <c r="B402" t="s" s="26">
        <v>62</v>
      </c>
      <c r="C402" t="s" s="25">
        <v>676</v>
      </c>
      <c r="D402" s="27">
        <v>0.5</v>
      </c>
      <c r="E402" s="28">
        <v>6.08</v>
      </c>
      <c r="F402" s="28">
        <v>4.77</v>
      </c>
      <c r="G402" s="27">
        <v>0.002</v>
      </c>
      <c r="H402" t="s" s="29">
        <v>64</v>
      </c>
      <c r="I402" s="30"/>
      <c r="J402" s="30"/>
      <c r="K402" s="30"/>
      <c r="L402" t="s" s="34">
        <v>677</v>
      </c>
      <c r="M402" s="30"/>
      <c r="N402" t="s" s="29">
        <v>64</v>
      </c>
      <c r="O402" s="30"/>
      <c r="P402" s="30"/>
      <c r="Q402" t="s" s="34">
        <v>678</v>
      </c>
    </row>
    <row r="403" ht="15.75" customHeight="1">
      <c r="A403" t="s" s="25">
        <v>675</v>
      </c>
      <c r="B403" t="s" s="26">
        <v>62</v>
      </c>
      <c r="C403" t="s" s="25">
        <v>679</v>
      </c>
      <c r="D403" s="27">
        <v>0.5</v>
      </c>
      <c r="E403" s="28">
        <v>6.17</v>
      </c>
      <c r="F403" s="28">
        <v>5</v>
      </c>
      <c r="G403" s="27">
        <v>0.002</v>
      </c>
      <c r="H403" s="30"/>
      <c r="I403" s="30"/>
      <c r="J403" s="30"/>
      <c r="K403" s="30"/>
      <c r="L403" t="s" s="34">
        <v>680</v>
      </c>
      <c r="M403" s="30"/>
      <c r="N403" s="30"/>
      <c r="O403" s="30"/>
      <c r="P403" s="30"/>
      <c r="Q403" s="31"/>
    </row>
    <row r="404" ht="15.75" customHeight="1">
      <c r="A404" t="s" s="25">
        <v>675</v>
      </c>
      <c r="B404" t="s" s="26">
        <v>62</v>
      </c>
      <c r="C404" t="s" s="25">
        <v>681</v>
      </c>
      <c r="D404" s="27">
        <v>0.01</v>
      </c>
      <c r="E404" s="28">
        <v>0</v>
      </c>
      <c r="F404" s="28">
        <v>0</v>
      </c>
      <c r="G404" s="27">
        <v>0.002</v>
      </c>
      <c r="H404" s="30"/>
      <c r="I404" s="30"/>
      <c r="J404" s="30"/>
      <c r="K404" s="30"/>
      <c r="L404" s="31"/>
      <c r="M404" s="30"/>
      <c r="N404" s="30"/>
      <c r="O404" s="30"/>
      <c r="P404" s="30"/>
      <c r="Q404" s="31"/>
    </row>
    <row r="405" ht="15.75" customHeight="1">
      <c r="A405" t="s" s="25">
        <v>675</v>
      </c>
      <c r="B405" t="s" s="26">
        <v>62</v>
      </c>
      <c r="C405" t="s" s="25">
        <v>682</v>
      </c>
      <c r="D405" s="27">
        <v>0.01</v>
      </c>
      <c r="E405" s="28">
        <v>0</v>
      </c>
      <c r="F405" s="28">
        <v>0</v>
      </c>
      <c r="G405" s="27"/>
      <c r="H405" s="30"/>
      <c r="I405" s="30"/>
      <c r="J405" s="30"/>
      <c r="K405" s="30"/>
      <c r="L405" s="31"/>
      <c r="M405" s="30"/>
      <c r="N405" s="30"/>
      <c r="O405" s="30"/>
      <c r="P405" s="30"/>
      <c r="Q405" s="31"/>
    </row>
    <row r="406" ht="15.75" customHeight="1">
      <c r="A406" t="s" s="25">
        <v>675</v>
      </c>
      <c r="B406" t="s" s="32">
        <v>67</v>
      </c>
      <c r="C406" t="s" s="25">
        <v>683</v>
      </c>
      <c r="D406" s="27">
        <v>0.95</v>
      </c>
      <c r="E406" s="28">
        <v>5.94</v>
      </c>
      <c r="F406" s="28">
        <v>5.91</v>
      </c>
      <c r="G406" s="27">
        <v>0.002</v>
      </c>
      <c r="H406" t="s" s="29">
        <v>64</v>
      </c>
      <c r="I406" s="30"/>
      <c r="J406" s="30"/>
      <c r="K406" s="30"/>
      <c r="L406" s="31"/>
      <c r="M406" s="30"/>
      <c r="N406" s="30"/>
      <c r="O406" s="30"/>
      <c r="P406" s="30"/>
      <c r="Q406" s="31"/>
    </row>
    <row r="407" ht="15.75" customHeight="1">
      <c r="A407" t="s" s="25">
        <v>675</v>
      </c>
      <c r="B407" t="s" s="32">
        <v>67</v>
      </c>
      <c r="C407" t="s" s="25">
        <v>684</v>
      </c>
      <c r="D407" s="27">
        <v>0.95</v>
      </c>
      <c r="E407" s="28">
        <v>5.81</v>
      </c>
      <c r="F407" s="28">
        <v>5.74</v>
      </c>
      <c r="G407" s="27">
        <v>0.002</v>
      </c>
      <c r="H407" t="s" s="29">
        <v>64</v>
      </c>
      <c r="I407" s="30"/>
      <c r="J407" s="30"/>
      <c r="K407" s="30"/>
      <c r="L407" t="s" s="34">
        <v>685</v>
      </c>
      <c r="M407" s="30"/>
      <c r="N407" t="s" s="29">
        <v>64</v>
      </c>
      <c r="O407" s="30"/>
      <c r="P407" s="30"/>
      <c r="Q407" t="s" s="34">
        <v>678</v>
      </c>
    </row>
    <row r="408" ht="15.75" customHeight="1">
      <c r="A408" t="s" s="25">
        <v>675</v>
      </c>
      <c r="B408" t="s" s="32">
        <v>67</v>
      </c>
      <c r="C408" t="s" s="25">
        <v>686</v>
      </c>
      <c r="D408" s="27">
        <v>0.75</v>
      </c>
      <c r="E408" s="28">
        <v>6.06</v>
      </c>
      <c r="F408" s="28">
        <v>6.4</v>
      </c>
      <c r="G408" s="27">
        <v>0.002</v>
      </c>
      <c r="H408" t="s" s="29">
        <v>64</v>
      </c>
      <c r="I408" s="30"/>
      <c r="J408" s="30"/>
      <c r="K408" s="30"/>
      <c r="L408" s="31"/>
      <c r="M408" s="30"/>
      <c r="N408" s="30"/>
      <c r="O408" s="30"/>
      <c r="P408" s="30"/>
      <c r="Q408" s="31"/>
    </row>
    <row r="409" ht="15.75" customHeight="1">
      <c r="A409" t="s" s="25">
        <v>675</v>
      </c>
      <c r="B409" t="s" s="32">
        <v>67</v>
      </c>
      <c r="C409" t="s" s="25">
        <v>687</v>
      </c>
      <c r="D409" s="27">
        <v>0.5</v>
      </c>
      <c r="E409" s="28">
        <v>5.69</v>
      </c>
      <c r="F409" s="28">
        <v>5.57</v>
      </c>
      <c r="G409" s="27">
        <v>0.002</v>
      </c>
      <c r="H409" s="30"/>
      <c r="I409" s="30"/>
      <c r="J409" s="30"/>
      <c r="K409" s="30"/>
      <c r="L409" t="s" s="34">
        <v>688</v>
      </c>
      <c r="M409" s="30"/>
      <c r="N409" s="30"/>
      <c r="O409" s="30"/>
      <c r="P409" s="30"/>
      <c r="Q409" s="31"/>
    </row>
    <row r="410" ht="15.75" customHeight="1">
      <c r="A410" t="s" s="25">
        <v>675</v>
      </c>
      <c r="B410" t="s" s="32">
        <v>67</v>
      </c>
      <c r="C410" t="s" s="25">
        <v>689</v>
      </c>
      <c r="D410" s="27">
        <v>0.5</v>
      </c>
      <c r="E410" s="28">
        <v>5.85</v>
      </c>
      <c r="F410" s="28">
        <v>5.76</v>
      </c>
      <c r="G410" s="27">
        <v>0.002</v>
      </c>
      <c r="H410" s="30"/>
      <c r="I410" s="30"/>
      <c r="J410" s="30"/>
      <c r="K410" s="33">
        <v>3</v>
      </c>
      <c r="L410" s="31"/>
      <c r="M410" s="30"/>
      <c r="N410" s="30"/>
      <c r="O410" s="30"/>
      <c r="P410" s="30"/>
      <c r="Q410" s="31"/>
    </row>
    <row r="411" ht="15.75" customHeight="1">
      <c r="A411" t="s" s="25">
        <v>675</v>
      </c>
      <c r="B411" t="s" s="32">
        <v>67</v>
      </c>
      <c r="C411" t="s" s="25">
        <v>690</v>
      </c>
      <c r="D411" s="27">
        <v>0.5</v>
      </c>
      <c r="E411" s="28">
        <v>0</v>
      </c>
      <c r="F411" s="28">
        <v>0</v>
      </c>
      <c r="G411" s="27">
        <v>0.002</v>
      </c>
      <c r="H411" t="s" s="29">
        <v>64</v>
      </c>
      <c r="I411" s="30"/>
      <c r="J411" s="30"/>
      <c r="K411" s="30"/>
      <c r="L411" s="31"/>
      <c r="M411" s="30"/>
      <c r="N411" s="30"/>
      <c r="O411" s="30"/>
      <c r="P411" s="30"/>
      <c r="Q411" s="31"/>
    </row>
    <row r="412" ht="15.75" customHeight="1">
      <c r="A412" t="s" s="25">
        <v>675</v>
      </c>
      <c r="B412" t="s" s="32">
        <v>67</v>
      </c>
      <c r="C412" t="s" s="25">
        <v>691</v>
      </c>
      <c r="D412" s="27">
        <v>0.01</v>
      </c>
      <c r="E412" s="28">
        <v>0</v>
      </c>
      <c r="F412" s="28">
        <v>0</v>
      </c>
      <c r="G412" s="27">
        <v>0.002</v>
      </c>
      <c r="H412" s="30"/>
      <c r="I412" s="30"/>
      <c r="J412" s="30"/>
      <c r="K412" s="30"/>
      <c r="L412" s="31"/>
      <c r="M412" s="30"/>
      <c r="N412" s="30"/>
      <c r="O412" s="30"/>
      <c r="P412" s="30"/>
      <c r="Q412" s="31"/>
    </row>
    <row r="413" ht="15.75" customHeight="1">
      <c r="A413" t="s" s="25">
        <v>675</v>
      </c>
      <c r="B413" t="s" s="35">
        <v>86</v>
      </c>
      <c r="C413" t="s" s="25">
        <v>692</v>
      </c>
      <c r="D413" s="27">
        <v>0.95</v>
      </c>
      <c r="E413" s="28">
        <v>5.96</v>
      </c>
      <c r="F413" s="28">
        <v>5.96</v>
      </c>
      <c r="G413" s="27">
        <v>0.002</v>
      </c>
      <c r="H413" t="s" s="29">
        <v>64</v>
      </c>
      <c r="I413" s="30"/>
      <c r="J413" s="30"/>
      <c r="K413" s="30"/>
      <c r="L413" s="31"/>
      <c r="M413" s="30"/>
      <c r="N413" s="30"/>
      <c r="O413" t="s" s="29">
        <v>64</v>
      </c>
      <c r="P413" s="30"/>
      <c r="Q413" t="s" s="34">
        <v>693</v>
      </c>
    </row>
    <row r="414" ht="15.75" customHeight="1">
      <c r="A414" t="s" s="25">
        <v>675</v>
      </c>
      <c r="B414" t="s" s="35">
        <v>86</v>
      </c>
      <c r="C414" t="s" s="25">
        <v>694</v>
      </c>
      <c r="D414" s="27">
        <v>0.95</v>
      </c>
      <c r="E414" s="28">
        <v>6.15</v>
      </c>
      <c r="F414" s="28">
        <v>6.49</v>
      </c>
      <c r="G414" s="27">
        <v>0.012</v>
      </c>
      <c r="H414" t="s" s="29">
        <v>64</v>
      </c>
      <c r="I414" s="30"/>
      <c r="J414" s="30"/>
      <c r="K414" s="30"/>
      <c r="L414" s="31"/>
      <c r="M414" s="30"/>
      <c r="N414" s="30"/>
      <c r="O414" s="30"/>
      <c r="P414" s="30"/>
      <c r="Q414" s="31"/>
    </row>
    <row r="415" ht="15.75" customHeight="1">
      <c r="A415" t="s" s="25">
        <v>675</v>
      </c>
      <c r="B415" t="s" s="35">
        <v>86</v>
      </c>
      <c r="C415" t="s" s="25">
        <v>695</v>
      </c>
      <c r="D415" s="27">
        <v>0.5</v>
      </c>
      <c r="E415" s="28">
        <v>6.13</v>
      </c>
      <c r="F415" s="28">
        <v>6.88</v>
      </c>
      <c r="G415" s="27">
        <v>0.002</v>
      </c>
      <c r="H415" s="30"/>
      <c r="I415" s="30"/>
      <c r="J415" s="30"/>
      <c r="K415" s="30"/>
      <c r="L415" s="31"/>
      <c r="M415" s="30"/>
      <c r="N415" s="30"/>
      <c r="O415" s="30"/>
      <c r="P415" s="30"/>
      <c r="Q415" s="31"/>
    </row>
    <row r="416" ht="15.75" customHeight="1">
      <c r="A416" t="s" s="25">
        <v>675</v>
      </c>
      <c r="B416" t="s" s="35">
        <v>86</v>
      </c>
      <c r="C416" t="s" s="25">
        <v>696</v>
      </c>
      <c r="D416" s="27">
        <v>0.5</v>
      </c>
      <c r="E416" s="28">
        <v>5.93</v>
      </c>
      <c r="F416" s="28">
        <v>5.91</v>
      </c>
      <c r="G416" s="27">
        <v>0.002</v>
      </c>
      <c r="H416" t="s" s="29">
        <v>64</v>
      </c>
      <c r="I416" s="30"/>
      <c r="J416" s="30"/>
      <c r="K416" s="30"/>
      <c r="L416" t="s" s="34">
        <v>697</v>
      </c>
      <c r="M416" s="30"/>
      <c r="N416" s="30"/>
      <c r="O416" s="30"/>
      <c r="P416" t="s" s="29">
        <v>64</v>
      </c>
      <c r="Q416" t="s" s="34">
        <v>698</v>
      </c>
    </row>
    <row r="417" ht="15.75" customHeight="1">
      <c r="A417" t="s" s="25">
        <v>675</v>
      </c>
      <c r="B417" t="s" s="35">
        <v>86</v>
      </c>
      <c r="C417" t="s" s="25">
        <v>699</v>
      </c>
      <c r="D417" s="27">
        <v>0.5</v>
      </c>
      <c r="E417" s="28">
        <v>6.14</v>
      </c>
      <c r="F417" s="28">
        <v>6.52</v>
      </c>
      <c r="G417" s="27">
        <v>0.002</v>
      </c>
      <c r="H417" s="30"/>
      <c r="I417" s="30"/>
      <c r="J417" s="30"/>
      <c r="K417" s="30"/>
      <c r="L417" s="31"/>
      <c r="M417" s="30"/>
      <c r="N417" s="30"/>
      <c r="O417" s="30"/>
      <c r="P417" s="30"/>
      <c r="Q417" s="31"/>
    </row>
    <row r="418" ht="15.75" customHeight="1">
      <c r="A418" t="s" s="25">
        <v>675</v>
      </c>
      <c r="B418" t="s" s="35">
        <v>86</v>
      </c>
      <c r="C418" t="s" s="25">
        <v>700</v>
      </c>
      <c r="D418" s="27">
        <v>0.25</v>
      </c>
      <c r="E418" s="28">
        <v>6.17</v>
      </c>
      <c r="F418" s="28">
        <v>6.17</v>
      </c>
      <c r="G418" s="27">
        <v>0.002</v>
      </c>
      <c r="H418" s="30"/>
      <c r="I418" s="30"/>
      <c r="J418" s="30"/>
      <c r="K418" s="30"/>
      <c r="L418" s="31"/>
      <c r="M418" s="30"/>
      <c r="N418" s="30"/>
      <c r="O418" s="30"/>
      <c r="P418" s="30"/>
      <c r="Q418" s="31"/>
    </row>
    <row r="419" ht="15.75" customHeight="1">
      <c r="A419" t="s" s="25">
        <v>675</v>
      </c>
      <c r="B419" t="s" s="35">
        <v>86</v>
      </c>
      <c r="C419" t="s" s="25">
        <v>701</v>
      </c>
      <c r="D419" s="27">
        <v>0.25</v>
      </c>
      <c r="E419" s="28">
        <v>5.83</v>
      </c>
      <c r="F419" s="28">
        <v>6.04</v>
      </c>
      <c r="G419" s="27">
        <v>0.002</v>
      </c>
      <c r="H419" s="30"/>
      <c r="I419" s="30"/>
      <c r="J419" s="30"/>
      <c r="K419" s="30"/>
      <c r="L419" t="s" s="34">
        <v>702</v>
      </c>
      <c r="M419" s="30"/>
      <c r="N419" s="30"/>
      <c r="O419" s="30"/>
      <c r="P419" s="30"/>
      <c r="Q419" s="31"/>
    </row>
    <row r="420" ht="15.75" customHeight="1">
      <c r="A420" t="s" s="25">
        <v>675</v>
      </c>
      <c r="B420" t="s" s="35">
        <v>86</v>
      </c>
      <c r="C420" t="s" s="25">
        <v>703</v>
      </c>
      <c r="D420" s="27">
        <v>0.01</v>
      </c>
      <c r="E420" s="28">
        <v>5.75</v>
      </c>
      <c r="F420" s="28">
        <v>5.75</v>
      </c>
      <c r="G420" s="27"/>
      <c r="H420" s="30"/>
      <c r="I420" s="30"/>
      <c r="J420" s="30"/>
      <c r="K420" s="30"/>
      <c r="L420" s="31"/>
      <c r="M420" s="30"/>
      <c r="N420" s="30"/>
      <c r="O420" s="30"/>
      <c r="P420" s="30"/>
      <c r="Q420" s="31"/>
    </row>
    <row r="421" ht="15.75" customHeight="1">
      <c r="A421" t="s" s="25">
        <v>675</v>
      </c>
      <c r="B421" t="s" s="35">
        <v>86</v>
      </c>
      <c r="C421" t="s" s="25">
        <v>704</v>
      </c>
      <c r="D421" s="27">
        <v>0.01</v>
      </c>
      <c r="E421" s="28">
        <v>6</v>
      </c>
      <c r="F421" s="28">
        <v>6.3</v>
      </c>
      <c r="G421" s="27"/>
      <c r="H421" s="30"/>
      <c r="I421" s="30"/>
      <c r="J421" s="30"/>
      <c r="K421" s="30"/>
      <c r="L421" s="31"/>
      <c r="M421" s="30"/>
      <c r="N421" s="30"/>
      <c r="O421" s="30"/>
      <c r="P421" s="30"/>
      <c r="Q421" s="31"/>
    </row>
    <row r="422" ht="15.75" customHeight="1">
      <c r="A422" t="s" s="25">
        <v>675</v>
      </c>
      <c r="B422" t="s" s="35">
        <v>86</v>
      </c>
      <c r="C422" t="s" s="25">
        <v>705</v>
      </c>
      <c r="D422" s="27">
        <v>0.01</v>
      </c>
      <c r="E422" s="28">
        <v>6.19</v>
      </c>
      <c r="F422" s="28">
        <v>6.63</v>
      </c>
      <c r="G422" s="27">
        <v>0.002</v>
      </c>
      <c r="H422" s="30"/>
      <c r="I422" s="30"/>
      <c r="J422" s="30"/>
      <c r="K422" s="30"/>
      <c r="L422" t="s" s="34">
        <v>706</v>
      </c>
      <c r="M422" s="30"/>
      <c r="N422" s="30"/>
      <c r="O422" s="30"/>
      <c r="P422" s="30"/>
      <c r="Q422" s="31"/>
    </row>
    <row r="423" ht="15.75" customHeight="1">
      <c r="A423" t="s" s="25">
        <v>675</v>
      </c>
      <c r="B423" t="s" s="36">
        <v>100</v>
      </c>
      <c r="C423" t="s" s="25">
        <v>707</v>
      </c>
      <c r="D423" s="27">
        <v>0.95</v>
      </c>
      <c r="E423" s="28">
        <v>6.31</v>
      </c>
      <c r="F423" s="28">
        <v>7.19</v>
      </c>
      <c r="G423" s="27">
        <v>0.083</v>
      </c>
      <c r="H423" t="s" s="29">
        <v>64</v>
      </c>
      <c r="I423" s="33">
        <v>1</v>
      </c>
      <c r="J423" s="33">
        <v>1</v>
      </c>
      <c r="K423" s="33">
        <v>1</v>
      </c>
      <c r="L423" s="31"/>
      <c r="M423" t="s" s="29">
        <v>64</v>
      </c>
      <c r="N423" s="30"/>
      <c r="O423" s="30"/>
      <c r="P423" s="30"/>
      <c r="Q423" t="s" s="34">
        <v>708</v>
      </c>
    </row>
    <row r="424" ht="15.75" customHeight="1">
      <c r="A424" t="s" s="25">
        <v>675</v>
      </c>
      <c r="B424" t="s" s="36">
        <v>100</v>
      </c>
      <c r="C424" t="s" s="25">
        <v>709</v>
      </c>
      <c r="D424" s="27">
        <v>0.95</v>
      </c>
      <c r="E424" s="28">
        <v>6.23</v>
      </c>
      <c r="F424" s="28">
        <v>6.99</v>
      </c>
      <c r="G424" s="27">
        <v>0.049</v>
      </c>
      <c r="H424" t="s" s="29">
        <v>64</v>
      </c>
      <c r="I424" s="33">
        <v>3</v>
      </c>
      <c r="J424" s="33">
        <v>2</v>
      </c>
      <c r="K424" s="33">
        <v>2</v>
      </c>
      <c r="L424" t="s" s="34">
        <v>710</v>
      </c>
      <c r="M424" t="s" s="29">
        <v>64</v>
      </c>
      <c r="N424" s="30"/>
      <c r="O424" s="30"/>
      <c r="P424" s="30"/>
      <c r="Q424" t="s" s="34">
        <v>711</v>
      </c>
    </row>
    <row r="425" ht="15.75" customHeight="1">
      <c r="A425" t="s" s="25">
        <v>675</v>
      </c>
      <c r="B425" t="s" s="36">
        <v>100</v>
      </c>
      <c r="C425" t="s" s="25">
        <v>712</v>
      </c>
      <c r="D425" s="27">
        <v>0.5</v>
      </c>
      <c r="E425" s="28">
        <v>5.96</v>
      </c>
      <c r="F425" s="28">
        <v>6.78</v>
      </c>
      <c r="G425" s="27">
        <v>0.002</v>
      </c>
      <c r="H425" s="30"/>
      <c r="I425" s="30"/>
      <c r="J425" s="30"/>
      <c r="K425" s="30"/>
      <c r="L425" t="s" s="34">
        <v>713</v>
      </c>
      <c r="M425" s="30"/>
      <c r="N425" s="30"/>
      <c r="O425" s="30"/>
      <c r="P425" s="30"/>
      <c r="Q425" s="31"/>
    </row>
    <row r="426" ht="15.75" customHeight="1">
      <c r="A426" t="s" s="25">
        <v>675</v>
      </c>
      <c r="B426" t="s" s="36">
        <v>100</v>
      </c>
      <c r="C426" t="s" s="25">
        <v>714</v>
      </c>
      <c r="D426" s="27">
        <v>0.5</v>
      </c>
      <c r="E426" s="28">
        <v>5.88</v>
      </c>
      <c r="F426" s="28">
        <v>6.62</v>
      </c>
      <c r="G426" s="27">
        <v>0.042</v>
      </c>
      <c r="H426" t="s" s="29">
        <v>64</v>
      </c>
      <c r="I426" s="33">
        <v>2</v>
      </c>
      <c r="J426" s="30"/>
      <c r="K426" s="30"/>
      <c r="L426" t="s" s="34">
        <v>715</v>
      </c>
      <c r="M426" s="30"/>
      <c r="N426" s="30"/>
      <c r="O426" s="30"/>
      <c r="P426" s="30"/>
      <c r="Q426" s="31"/>
    </row>
    <row r="427" ht="15.75" customHeight="1">
      <c r="A427" t="s" s="25">
        <v>675</v>
      </c>
      <c r="B427" t="s" s="36">
        <v>100</v>
      </c>
      <c r="C427" t="s" s="25">
        <v>716</v>
      </c>
      <c r="D427" s="27">
        <v>0.01</v>
      </c>
      <c r="E427" s="28">
        <v>5.58</v>
      </c>
      <c r="F427" s="28">
        <v>5.5</v>
      </c>
      <c r="G427" s="27">
        <v>0.002</v>
      </c>
      <c r="H427" s="30"/>
      <c r="I427" s="30"/>
      <c r="J427" s="30"/>
      <c r="K427" s="30"/>
      <c r="L427" s="31"/>
      <c r="M427" s="30"/>
      <c r="N427" s="30"/>
      <c r="O427" s="30"/>
      <c r="P427" s="30"/>
      <c r="Q427" s="31"/>
    </row>
    <row r="428" ht="15.75" customHeight="1">
      <c r="A428" t="s" s="25">
        <v>717</v>
      </c>
      <c r="B428" t="s" s="26">
        <v>62</v>
      </c>
      <c r="C428" t="s" s="25">
        <v>718</v>
      </c>
      <c r="D428" s="27">
        <v>0.75</v>
      </c>
      <c r="E428" s="28">
        <v>6.09</v>
      </c>
      <c r="F428" s="28">
        <v>4.52</v>
      </c>
      <c r="G428" s="27">
        <v>0.002</v>
      </c>
      <c r="H428" t="s" s="29">
        <v>64</v>
      </c>
      <c r="I428" s="30"/>
      <c r="J428" s="30"/>
      <c r="K428" s="30"/>
      <c r="L428" s="31"/>
      <c r="M428" s="30"/>
      <c r="N428" s="30"/>
      <c r="O428" s="30"/>
      <c r="P428" s="30"/>
      <c r="Q428" s="31"/>
    </row>
    <row r="429" ht="15.75" customHeight="1">
      <c r="A429" t="s" s="25">
        <v>717</v>
      </c>
      <c r="B429" t="s" s="26">
        <v>62</v>
      </c>
      <c r="C429" t="s" s="25">
        <v>719</v>
      </c>
      <c r="D429" s="27">
        <v>0.01</v>
      </c>
      <c r="E429" s="28">
        <v>0</v>
      </c>
      <c r="F429" s="28">
        <v>0</v>
      </c>
      <c r="G429" s="27">
        <v>0.002</v>
      </c>
      <c r="H429" s="30"/>
      <c r="I429" s="30"/>
      <c r="J429" s="30"/>
      <c r="K429" s="30"/>
      <c r="L429" s="31"/>
      <c r="M429" s="30"/>
      <c r="N429" s="30"/>
      <c r="O429" s="30"/>
      <c r="P429" s="30"/>
      <c r="Q429" s="31"/>
    </row>
    <row r="430" ht="15.75" customHeight="1">
      <c r="A430" t="s" s="25">
        <v>717</v>
      </c>
      <c r="B430" t="s" s="26">
        <v>62</v>
      </c>
      <c r="C430" t="s" s="25">
        <v>720</v>
      </c>
      <c r="D430" s="27">
        <v>0.01</v>
      </c>
      <c r="E430" s="28">
        <v>0</v>
      </c>
      <c r="F430" s="28">
        <v>0</v>
      </c>
      <c r="G430" s="27">
        <v>0.002</v>
      </c>
      <c r="H430" s="30"/>
      <c r="I430" s="30"/>
      <c r="J430" s="30"/>
      <c r="K430" s="30"/>
      <c r="L430" s="31"/>
      <c r="M430" s="30"/>
      <c r="N430" s="30"/>
      <c r="O430" s="30"/>
      <c r="P430" s="30"/>
      <c r="Q430" s="31"/>
    </row>
    <row r="431" ht="15.75" customHeight="1">
      <c r="A431" t="s" s="25">
        <v>717</v>
      </c>
      <c r="B431" t="s" s="32">
        <v>67</v>
      </c>
      <c r="C431" t="s" s="25">
        <v>721</v>
      </c>
      <c r="D431" s="27">
        <v>0.95</v>
      </c>
      <c r="E431" s="28">
        <v>5.84</v>
      </c>
      <c r="F431" s="28">
        <v>5.91</v>
      </c>
      <c r="G431" s="27">
        <v>0.002</v>
      </c>
      <c r="H431" t="s" s="29">
        <v>64</v>
      </c>
      <c r="I431" s="30"/>
      <c r="J431" s="30"/>
      <c r="K431" s="30"/>
      <c r="L431" s="31"/>
      <c r="M431" s="30"/>
      <c r="N431" s="30"/>
      <c r="O431" s="30"/>
      <c r="P431" s="30"/>
      <c r="Q431" s="31"/>
    </row>
    <row r="432" ht="15.75" customHeight="1">
      <c r="A432" t="s" s="25">
        <v>717</v>
      </c>
      <c r="B432" t="s" s="32">
        <v>67</v>
      </c>
      <c r="C432" t="s" s="25">
        <v>722</v>
      </c>
      <c r="D432" s="27">
        <v>0.75</v>
      </c>
      <c r="E432" s="28">
        <v>5.75</v>
      </c>
      <c r="F432" s="28">
        <v>5.75</v>
      </c>
      <c r="G432" s="27">
        <v>0.002</v>
      </c>
      <c r="H432" t="s" s="29">
        <v>64</v>
      </c>
      <c r="I432" s="30"/>
      <c r="J432" s="30"/>
      <c r="K432" s="30"/>
      <c r="L432" t="s" s="34">
        <v>723</v>
      </c>
      <c r="M432" s="30"/>
      <c r="N432" s="30"/>
      <c r="O432" s="30"/>
      <c r="P432" s="30"/>
      <c r="Q432" s="31"/>
    </row>
    <row r="433" ht="15.75" customHeight="1">
      <c r="A433" t="s" s="25">
        <v>717</v>
      </c>
      <c r="B433" t="s" s="32">
        <v>67</v>
      </c>
      <c r="C433" t="s" s="25">
        <v>724</v>
      </c>
      <c r="D433" s="27">
        <v>0.75</v>
      </c>
      <c r="E433" s="28">
        <v>5.92</v>
      </c>
      <c r="F433" s="28">
        <v>5.9</v>
      </c>
      <c r="G433" s="27">
        <v>0.002</v>
      </c>
      <c r="H433" t="s" s="29">
        <v>64</v>
      </c>
      <c r="I433" s="30"/>
      <c r="J433" s="30"/>
      <c r="K433" s="30"/>
      <c r="L433" s="31"/>
      <c r="M433" s="30"/>
      <c r="N433" s="30"/>
      <c r="O433" s="30"/>
      <c r="P433" s="30"/>
      <c r="Q433" s="31"/>
    </row>
    <row r="434" ht="15.75" customHeight="1">
      <c r="A434" t="s" s="25">
        <v>717</v>
      </c>
      <c r="B434" t="s" s="32">
        <v>67</v>
      </c>
      <c r="C434" t="s" s="25">
        <v>725</v>
      </c>
      <c r="D434" s="27">
        <v>0.75</v>
      </c>
      <c r="E434" s="28">
        <v>5.84</v>
      </c>
      <c r="F434" s="28">
        <v>5.97</v>
      </c>
      <c r="G434" s="27">
        <v>0.004</v>
      </c>
      <c r="H434" t="s" s="29">
        <v>64</v>
      </c>
      <c r="I434" s="30"/>
      <c r="J434" s="30"/>
      <c r="K434" s="30"/>
      <c r="L434" s="31"/>
      <c r="M434" s="30"/>
      <c r="N434" s="30"/>
      <c r="O434" s="30"/>
      <c r="P434" s="30"/>
      <c r="Q434" s="31"/>
    </row>
    <row r="435" ht="15.75" customHeight="1">
      <c r="A435" t="s" s="25">
        <v>717</v>
      </c>
      <c r="B435" t="s" s="32">
        <v>67</v>
      </c>
      <c r="C435" t="s" s="25">
        <v>726</v>
      </c>
      <c r="D435" s="27">
        <v>0.5</v>
      </c>
      <c r="E435" s="28">
        <v>0</v>
      </c>
      <c r="F435" s="28">
        <v>0</v>
      </c>
      <c r="G435" s="27">
        <v>0.002</v>
      </c>
      <c r="H435" s="30"/>
      <c r="I435" s="30"/>
      <c r="J435" s="30"/>
      <c r="K435" s="30"/>
      <c r="L435" t="s" s="34">
        <v>727</v>
      </c>
      <c r="M435" s="30"/>
      <c r="N435" s="30"/>
      <c r="O435" s="30"/>
      <c r="P435" s="30"/>
      <c r="Q435" s="31"/>
    </row>
    <row r="436" ht="15.75" customHeight="1">
      <c r="A436" t="s" s="25">
        <v>717</v>
      </c>
      <c r="B436" t="s" s="32">
        <v>67</v>
      </c>
      <c r="C436" t="s" s="25">
        <v>728</v>
      </c>
      <c r="D436" s="27">
        <v>0.25</v>
      </c>
      <c r="E436" s="28">
        <v>5.59</v>
      </c>
      <c r="F436" s="28">
        <v>5.59</v>
      </c>
      <c r="G436" s="27">
        <v>0.002</v>
      </c>
      <c r="H436" s="30"/>
      <c r="I436" s="30"/>
      <c r="J436" s="30"/>
      <c r="K436" s="30"/>
      <c r="L436" s="31"/>
      <c r="M436" s="30"/>
      <c r="N436" t="s" s="29">
        <v>64</v>
      </c>
      <c r="O436" s="30"/>
      <c r="P436" s="30"/>
      <c r="Q436" t="s" s="34">
        <v>729</v>
      </c>
    </row>
    <row r="437" ht="15.75" customHeight="1">
      <c r="A437" t="s" s="25">
        <v>717</v>
      </c>
      <c r="B437" t="s" s="35">
        <v>86</v>
      </c>
      <c r="C437" t="s" s="25">
        <v>730</v>
      </c>
      <c r="D437" s="27">
        <v>0.95</v>
      </c>
      <c r="E437" s="28">
        <v>6.03</v>
      </c>
      <c r="F437" s="28">
        <v>6.67</v>
      </c>
      <c r="G437" s="27">
        <v>0.055</v>
      </c>
      <c r="H437" t="s" s="29">
        <v>64</v>
      </c>
      <c r="I437" s="33">
        <v>1</v>
      </c>
      <c r="J437" s="33">
        <v>1</v>
      </c>
      <c r="K437" s="33">
        <v>1</v>
      </c>
      <c r="L437" s="31"/>
      <c r="M437" t="s" s="29">
        <v>64</v>
      </c>
      <c r="N437" s="30"/>
      <c r="O437" s="30"/>
      <c r="P437" s="30"/>
      <c r="Q437" t="s" s="34">
        <v>731</v>
      </c>
    </row>
    <row r="438" ht="15.75" customHeight="1">
      <c r="A438" t="s" s="25">
        <v>717</v>
      </c>
      <c r="B438" t="s" s="35">
        <v>86</v>
      </c>
      <c r="C438" t="s" s="25">
        <v>732</v>
      </c>
      <c r="D438" s="27">
        <v>0.75</v>
      </c>
      <c r="E438" s="28">
        <v>0</v>
      </c>
      <c r="F438" s="28">
        <v>0</v>
      </c>
      <c r="G438" s="27">
        <v>0.002</v>
      </c>
      <c r="H438" t="s" s="29">
        <v>64</v>
      </c>
      <c r="I438" s="30"/>
      <c r="J438" s="30"/>
      <c r="K438" s="30"/>
      <c r="L438" s="31"/>
      <c r="M438" s="30"/>
      <c r="N438" s="30"/>
      <c r="O438" s="30"/>
      <c r="P438" s="30"/>
      <c r="Q438" s="31"/>
    </row>
    <row r="439" ht="15.75" customHeight="1">
      <c r="A439" t="s" s="25">
        <v>717</v>
      </c>
      <c r="B439" t="s" s="35">
        <v>86</v>
      </c>
      <c r="C439" t="s" s="25">
        <v>733</v>
      </c>
      <c r="D439" s="27">
        <v>0.75</v>
      </c>
      <c r="E439" s="28">
        <v>0</v>
      </c>
      <c r="F439" s="28">
        <v>0</v>
      </c>
      <c r="G439" s="27">
        <v>0.002</v>
      </c>
      <c r="H439" t="s" s="29">
        <v>64</v>
      </c>
      <c r="I439" s="30"/>
      <c r="J439" s="30"/>
      <c r="K439" s="30"/>
      <c r="L439" t="s" s="34">
        <v>734</v>
      </c>
      <c r="M439" s="30"/>
      <c r="N439" s="30"/>
      <c r="O439" s="30"/>
      <c r="P439" s="30"/>
      <c r="Q439" s="31"/>
    </row>
    <row r="440" ht="15.75" customHeight="1">
      <c r="A440" t="s" s="25">
        <v>717</v>
      </c>
      <c r="B440" t="s" s="35">
        <v>86</v>
      </c>
      <c r="C440" t="s" s="25">
        <v>735</v>
      </c>
      <c r="D440" s="27">
        <v>0.5</v>
      </c>
      <c r="E440" s="28">
        <v>5.97</v>
      </c>
      <c r="F440" s="28">
        <v>6.45</v>
      </c>
      <c r="G440" s="27">
        <v>0.007</v>
      </c>
      <c r="H440" t="s" s="29">
        <v>64</v>
      </c>
      <c r="I440" s="30"/>
      <c r="J440" s="30"/>
      <c r="K440" s="30"/>
      <c r="L440" s="31"/>
      <c r="M440" s="30"/>
      <c r="N440" s="30"/>
      <c r="O440" s="30"/>
      <c r="P440" s="30"/>
      <c r="Q440" s="31"/>
    </row>
    <row r="441" ht="15.75" customHeight="1">
      <c r="A441" t="s" s="25">
        <v>717</v>
      </c>
      <c r="B441" t="s" s="35">
        <v>86</v>
      </c>
      <c r="C441" t="s" s="25">
        <v>736</v>
      </c>
      <c r="D441" s="27">
        <v>0.5</v>
      </c>
      <c r="E441" s="28">
        <v>5.87</v>
      </c>
      <c r="F441" s="28">
        <v>5.81</v>
      </c>
      <c r="G441" s="27">
        <v>0.002</v>
      </c>
      <c r="H441" s="30"/>
      <c r="I441" s="30"/>
      <c r="J441" s="30"/>
      <c r="K441" s="30"/>
      <c r="L441" t="s" s="34">
        <v>737</v>
      </c>
      <c r="M441" s="30"/>
      <c r="N441" s="30"/>
      <c r="O441" s="30"/>
      <c r="P441" s="30"/>
      <c r="Q441" s="31"/>
    </row>
    <row r="442" ht="15.75" customHeight="1">
      <c r="A442" t="s" s="25">
        <v>717</v>
      </c>
      <c r="B442" t="s" s="35">
        <v>86</v>
      </c>
      <c r="C442" t="s" s="25">
        <v>738</v>
      </c>
      <c r="D442" s="27">
        <v>0.5</v>
      </c>
      <c r="E442" s="28">
        <v>5.78</v>
      </c>
      <c r="F442" s="28">
        <v>5.92</v>
      </c>
      <c r="G442" s="27">
        <v>0.002</v>
      </c>
      <c r="H442" t="s" s="29">
        <v>64</v>
      </c>
      <c r="I442" s="30"/>
      <c r="J442" s="33">
        <v>2</v>
      </c>
      <c r="K442" s="33">
        <v>2</v>
      </c>
      <c r="L442" t="s" s="34">
        <v>739</v>
      </c>
      <c r="M442" s="30"/>
      <c r="N442" s="30"/>
      <c r="O442" t="s" s="29">
        <v>64</v>
      </c>
      <c r="P442" s="30"/>
      <c r="Q442" t="s" s="34">
        <v>740</v>
      </c>
    </row>
    <row r="443" ht="15.75" customHeight="1">
      <c r="A443" t="s" s="25">
        <v>717</v>
      </c>
      <c r="B443" t="s" s="35">
        <v>86</v>
      </c>
      <c r="C443" t="s" s="25">
        <v>741</v>
      </c>
      <c r="D443" s="27">
        <v>0.25</v>
      </c>
      <c r="E443" s="28">
        <v>5.77</v>
      </c>
      <c r="F443" s="28">
        <v>5.59</v>
      </c>
      <c r="G443" s="27">
        <v>0.002</v>
      </c>
      <c r="H443" s="30"/>
      <c r="I443" s="30"/>
      <c r="J443" s="30"/>
      <c r="K443" s="30"/>
      <c r="L443" s="31"/>
      <c r="M443" s="30"/>
      <c r="N443" s="30"/>
      <c r="O443" s="30"/>
      <c r="P443" s="30"/>
      <c r="Q443" s="31"/>
    </row>
    <row r="444" ht="15.75" customHeight="1">
      <c r="A444" t="s" s="25">
        <v>717</v>
      </c>
      <c r="B444" t="s" s="35">
        <v>86</v>
      </c>
      <c r="C444" t="s" s="25">
        <v>742</v>
      </c>
      <c r="D444" s="27">
        <v>0.25</v>
      </c>
      <c r="E444" s="28">
        <v>5.78</v>
      </c>
      <c r="F444" s="28">
        <v>5.72</v>
      </c>
      <c r="G444" s="27">
        <v>0.002</v>
      </c>
      <c r="H444" s="30"/>
      <c r="I444" s="30"/>
      <c r="J444" s="30"/>
      <c r="K444" s="30"/>
      <c r="L444" s="31"/>
      <c r="M444" s="30"/>
      <c r="N444" s="30"/>
      <c r="O444" s="30"/>
      <c r="P444" s="30"/>
      <c r="Q444" s="31"/>
    </row>
    <row r="445" ht="15.75" customHeight="1">
      <c r="A445" t="s" s="25">
        <v>717</v>
      </c>
      <c r="B445" t="s" s="35">
        <v>86</v>
      </c>
      <c r="C445" t="s" s="25">
        <v>743</v>
      </c>
      <c r="D445" s="27">
        <v>0.25</v>
      </c>
      <c r="E445" s="28">
        <v>5.82</v>
      </c>
      <c r="F445" s="28">
        <v>6</v>
      </c>
      <c r="G445" s="27">
        <v>0.001</v>
      </c>
      <c r="H445" s="30"/>
      <c r="I445" s="30"/>
      <c r="J445" s="30"/>
      <c r="K445" s="30"/>
      <c r="L445" s="31"/>
      <c r="M445" s="30"/>
      <c r="N445" s="30"/>
      <c r="O445" s="30"/>
      <c r="P445" s="30"/>
      <c r="Q445" s="31"/>
    </row>
    <row r="446" ht="15.75" customHeight="1">
      <c r="A446" t="s" s="25">
        <v>717</v>
      </c>
      <c r="B446" t="s" s="35">
        <v>86</v>
      </c>
      <c r="C446" t="s" s="25">
        <v>744</v>
      </c>
      <c r="D446" s="27">
        <v>0.25</v>
      </c>
      <c r="E446" s="28">
        <v>5.8</v>
      </c>
      <c r="F446" s="28">
        <v>6.1</v>
      </c>
      <c r="G446" s="27">
        <v>0.002</v>
      </c>
      <c r="H446" s="30"/>
      <c r="I446" s="30"/>
      <c r="J446" s="30"/>
      <c r="K446" s="30"/>
      <c r="L446" s="31"/>
      <c r="M446" s="30"/>
      <c r="N446" s="30"/>
      <c r="O446" s="30"/>
      <c r="P446" t="s" s="29">
        <v>64</v>
      </c>
      <c r="Q446" t="s" s="34">
        <v>745</v>
      </c>
    </row>
    <row r="447" ht="15.75" customHeight="1">
      <c r="A447" t="s" s="25">
        <v>717</v>
      </c>
      <c r="B447" t="s" s="35">
        <v>86</v>
      </c>
      <c r="C447" t="s" s="25">
        <v>746</v>
      </c>
      <c r="D447" s="27">
        <v>0.01</v>
      </c>
      <c r="E447" s="28">
        <v>6</v>
      </c>
      <c r="F447" s="28">
        <v>5.88</v>
      </c>
      <c r="G447" s="27">
        <v>0.002</v>
      </c>
      <c r="H447" s="30"/>
      <c r="I447" s="30"/>
      <c r="J447" s="30"/>
      <c r="K447" s="33">
        <v>3</v>
      </c>
      <c r="L447" s="31"/>
      <c r="M447" s="30"/>
      <c r="N447" s="30"/>
      <c r="O447" s="30"/>
      <c r="P447" s="30"/>
      <c r="Q447" s="31"/>
    </row>
    <row r="448" ht="15.75" customHeight="1">
      <c r="A448" t="s" s="25">
        <v>717</v>
      </c>
      <c r="B448" t="s" s="36">
        <v>100</v>
      </c>
      <c r="C448" t="s" s="25">
        <v>747</v>
      </c>
      <c r="D448" s="27">
        <v>0.75</v>
      </c>
      <c r="E448" s="28">
        <v>6.08</v>
      </c>
      <c r="F448" s="28">
        <v>7.1</v>
      </c>
      <c r="G448" s="27">
        <v>0.096</v>
      </c>
      <c r="H448" t="s" s="29">
        <v>64</v>
      </c>
      <c r="I448" s="30"/>
      <c r="J448" s="30"/>
      <c r="K448" s="30"/>
      <c r="L448" s="31"/>
      <c r="M448" t="s" s="29">
        <v>64</v>
      </c>
      <c r="N448" s="30"/>
      <c r="O448" s="30"/>
      <c r="P448" s="30"/>
      <c r="Q448" t="s" s="34">
        <v>748</v>
      </c>
    </row>
    <row r="449" ht="15.75" customHeight="1">
      <c r="A449" t="s" s="25">
        <v>717</v>
      </c>
      <c r="B449" t="s" s="36">
        <v>100</v>
      </c>
      <c r="C449" t="s" s="25">
        <v>749</v>
      </c>
      <c r="D449" s="27">
        <v>0.5</v>
      </c>
      <c r="E449" s="28">
        <v>5.98</v>
      </c>
      <c r="F449" s="28">
        <v>6.64</v>
      </c>
      <c r="G449" s="27">
        <v>0.002</v>
      </c>
      <c r="H449" s="30"/>
      <c r="I449" s="30"/>
      <c r="J449" s="30"/>
      <c r="K449" s="30"/>
      <c r="L449" t="s" s="34">
        <v>750</v>
      </c>
      <c r="M449" s="30"/>
      <c r="N449" s="30"/>
      <c r="O449" s="30"/>
      <c r="P449" s="30"/>
      <c r="Q449" s="31"/>
    </row>
    <row r="450" ht="15.75" customHeight="1">
      <c r="A450" t="s" s="25">
        <v>717</v>
      </c>
      <c r="B450" t="s" s="36">
        <v>100</v>
      </c>
      <c r="C450" t="s" s="25">
        <v>751</v>
      </c>
      <c r="D450" s="27">
        <v>0.5</v>
      </c>
      <c r="E450" s="28">
        <v>5.83</v>
      </c>
      <c r="F450" s="28">
        <v>6.13</v>
      </c>
      <c r="G450" s="27">
        <v>0.002</v>
      </c>
      <c r="H450" s="30"/>
      <c r="I450" s="33">
        <v>3</v>
      </c>
      <c r="J450" s="30"/>
      <c r="K450" s="30"/>
      <c r="L450" s="31"/>
      <c r="M450" s="30"/>
      <c r="N450" s="30"/>
      <c r="O450" s="30"/>
      <c r="P450" s="30"/>
      <c r="Q450" s="31"/>
    </row>
    <row r="451" ht="15.75" customHeight="1">
      <c r="A451" t="s" s="25">
        <v>717</v>
      </c>
      <c r="B451" t="s" s="36">
        <v>100</v>
      </c>
      <c r="C451" t="s" s="25">
        <v>752</v>
      </c>
      <c r="D451" s="27">
        <v>0.25</v>
      </c>
      <c r="E451" s="28">
        <v>5.71</v>
      </c>
      <c r="F451" s="28">
        <v>5.71</v>
      </c>
      <c r="G451" s="27">
        <v>0.002</v>
      </c>
      <c r="H451" s="30"/>
      <c r="I451" s="33">
        <v>2</v>
      </c>
      <c r="J451" s="30"/>
      <c r="K451" s="30"/>
      <c r="L451" s="31"/>
      <c r="M451" s="30"/>
      <c r="N451" s="30"/>
      <c r="O451" s="30"/>
      <c r="P451" s="30"/>
      <c r="Q451" s="31"/>
    </row>
    <row r="452" ht="15.75" customHeight="1">
      <c r="A452" t="s" s="25">
        <v>753</v>
      </c>
      <c r="B452" t="s" s="26">
        <v>62</v>
      </c>
      <c r="C452" t="s" s="25">
        <v>754</v>
      </c>
      <c r="D452" s="27">
        <v>0.95</v>
      </c>
      <c r="E452" s="28">
        <v>6.07</v>
      </c>
      <c r="F452" s="28">
        <v>5.09</v>
      </c>
      <c r="G452" s="27">
        <v>0.016</v>
      </c>
      <c r="H452" t="s" s="29">
        <v>64</v>
      </c>
      <c r="I452" s="30"/>
      <c r="J452" s="30"/>
      <c r="K452" s="30"/>
      <c r="L452" s="31"/>
      <c r="M452" s="30"/>
      <c r="N452" s="30"/>
      <c r="O452" s="30"/>
      <c r="P452" s="30"/>
      <c r="Q452" s="31"/>
    </row>
    <row r="453" ht="15.75" customHeight="1">
      <c r="A453" t="s" s="25">
        <v>753</v>
      </c>
      <c r="B453" t="s" s="26">
        <v>62</v>
      </c>
      <c r="C453" t="s" s="25">
        <v>755</v>
      </c>
      <c r="D453" s="27">
        <v>0.01</v>
      </c>
      <c r="E453" s="28">
        <v>6.25</v>
      </c>
      <c r="F453" s="28">
        <v>5.25</v>
      </c>
      <c r="G453" s="27">
        <v>0.002</v>
      </c>
      <c r="H453" s="30"/>
      <c r="I453" s="30"/>
      <c r="J453" s="30"/>
      <c r="K453" s="30"/>
      <c r="L453" s="31"/>
      <c r="M453" s="30"/>
      <c r="N453" s="30"/>
      <c r="O453" s="30"/>
      <c r="P453" s="30"/>
      <c r="Q453" s="31"/>
    </row>
    <row r="454" ht="15.75" customHeight="1">
      <c r="A454" t="s" s="25">
        <v>753</v>
      </c>
      <c r="B454" t="s" s="26">
        <v>62</v>
      </c>
      <c r="C454" t="s" s="25">
        <v>756</v>
      </c>
      <c r="D454" s="27">
        <v>0.01</v>
      </c>
      <c r="E454" s="28">
        <v>0</v>
      </c>
      <c r="F454" s="28">
        <v>0</v>
      </c>
      <c r="G454" s="27">
        <v>0.002</v>
      </c>
      <c r="H454" s="30"/>
      <c r="I454" s="30"/>
      <c r="J454" s="30"/>
      <c r="K454" s="30"/>
      <c r="L454" s="31"/>
      <c r="M454" s="30"/>
      <c r="N454" s="30"/>
      <c r="O454" s="30"/>
      <c r="P454" s="30"/>
      <c r="Q454" s="31"/>
    </row>
    <row r="455" ht="15.75" customHeight="1">
      <c r="A455" t="s" s="25">
        <v>753</v>
      </c>
      <c r="B455" t="s" s="32">
        <v>67</v>
      </c>
      <c r="C455" t="s" s="25">
        <v>757</v>
      </c>
      <c r="D455" s="27">
        <v>0.95</v>
      </c>
      <c r="E455" s="28">
        <v>6.18</v>
      </c>
      <c r="F455" s="28">
        <v>6.4</v>
      </c>
      <c r="G455" s="27">
        <v>0.038</v>
      </c>
      <c r="H455" t="s" s="29">
        <v>64</v>
      </c>
      <c r="I455" s="33">
        <v>2</v>
      </c>
      <c r="J455" s="30"/>
      <c r="K455" s="30"/>
      <c r="L455" s="31"/>
      <c r="M455" s="30"/>
      <c r="N455" s="30"/>
      <c r="O455" s="30"/>
      <c r="P455" s="30"/>
      <c r="Q455" s="31"/>
    </row>
    <row r="456" ht="15.75" customHeight="1">
      <c r="A456" t="s" s="25">
        <v>753</v>
      </c>
      <c r="B456" t="s" s="32">
        <v>67</v>
      </c>
      <c r="C456" t="s" s="25">
        <v>758</v>
      </c>
      <c r="D456" s="27">
        <v>0.75</v>
      </c>
      <c r="E456" s="28">
        <v>5.98</v>
      </c>
      <c r="F456" s="28">
        <v>6.18</v>
      </c>
      <c r="G456" s="27">
        <v>0.002</v>
      </c>
      <c r="H456" t="s" s="29">
        <v>64</v>
      </c>
      <c r="I456" s="30"/>
      <c r="J456" s="30"/>
      <c r="K456" s="30"/>
      <c r="L456" s="31"/>
      <c r="M456" s="30"/>
      <c r="N456" s="30"/>
      <c r="O456" s="30"/>
      <c r="P456" s="30"/>
      <c r="Q456" s="31"/>
    </row>
    <row r="457" ht="15.75" customHeight="1">
      <c r="A457" t="s" s="25">
        <v>753</v>
      </c>
      <c r="B457" t="s" s="32">
        <v>67</v>
      </c>
      <c r="C457" t="s" s="25">
        <v>759</v>
      </c>
      <c r="D457" s="27">
        <v>0.75</v>
      </c>
      <c r="E457" s="28">
        <v>6.02</v>
      </c>
      <c r="F457" s="28">
        <v>6.26</v>
      </c>
      <c r="G457" s="27">
        <v>0.014</v>
      </c>
      <c r="H457" t="s" s="29">
        <v>64</v>
      </c>
      <c r="I457" s="30"/>
      <c r="J457" s="30"/>
      <c r="K457" s="33">
        <v>3</v>
      </c>
      <c r="L457" s="31"/>
      <c r="M457" s="30"/>
      <c r="N457" s="30"/>
      <c r="O457" s="30"/>
      <c r="P457" s="30"/>
      <c r="Q457" s="31"/>
    </row>
    <row r="458" ht="15.75" customHeight="1">
      <c r="A458" t="s" s="25">
        <v>753</v>
      </c>
      <c r="B458" t="s" s="32">
        <v>67</v>
      </c>
      <c r="C458" t="s" s="25">
        <v>760</v>
      </c>
      <c r="D458" s="27">
        <v>0.5</v>
      </c>
      <c r="E458" s="28">
        <v>5.86</v>
      </c>
      <c r="F458" s="28">
        <v>5.84</v>
      </c>
      <c r="G458" s="27">
        <v>0.002</v>
      </c>
      <c r="H458" t="s" s="29">
        <v>64</v>
      </c>
      <c r="I458" s="30"/>
      <c r="J458" s="30"/>
      <c r="K458" s="30"/>
      <c r="L458" s="31"/>
      <c r="M458" s="30"/>
      <c r="N458" s="30"/>
      <c r="O458" s="30"/>
      <c r="P458" s="30"/>
      <c r="Q458" s="31"/>
    </row>
    <row r="459" ht="15.75" customHeight="1">
      <c r="A459" t="s" s="25">
        <v>753</v>
      </c>
      <c r="B459" t="s" s="32">
        <v>67</v>
      </c>
      <c r="C459" t="s" s="25">
        <v>761</v>
      </c>
      <c r="D459" s="27">
        <v>0.5</v>
      </c>
      <c r="E459" s="28">
        <v>5.88</v>
      </c>
      <c r="F459" s="28">
        <v>5.86</v>
      </c>
      <c r="G459" s="27">
        <v>0.002</v>
      </c>
      <c r="H459" t="s" s="29">
        <v>64</v>
      </c>
      <c r="I459" s="30"/>
      <c r="J459" s="30"/>
      <c r="K459" s="30"/>
      <c r="L459" s="31"/>
      <c r="M459" s="30"/>
      <c r="N459" s="30"/>
      <c r="O459" s="30"/>
      <c r="P459" s="30"/>
      <c r="Q459" s="31"/>
    </row>
    <row r="460" ht="15.75" customHeight="1">
      <c r="A460" t="s" s="25">
        <v>753</v>
      </c>
      <c r="B460" t="s" s="32">
        <v>67</v>
      </c>
      <c r="C460" t="s" s="25">
        <v>762</v>
      </c>
      <c r="D460" s="27">
        <v>0.5</v>
      </c>
      <c r="E460" s="28">
        <v>6.05</v>
      </c>
      <c r="F460" s="28">
        <v>6.29</v>
      </c>
      <c r="G460" s="27">
        <v>0.002</v>
      </c>
      <c r="H460" s="30"/>
      <c r="I460" s="30"/>
      <c r="J460" s="30"/>
      <c r="K460" s="30"/>
      <c r="L460" s="31"/>
      <c r="M460" s="30"/>
      <c r="N460" s="30"/>
      <c r="O460" s="30"/>
      <c r="P460" s="30"/>
      <c r="Q460" s="31"/>
    </row>
    <row r="461" ht="15.75" customHeight="1">
      <c r="A461" t="s" s="25">
        <v>753</v>
      </c>
      <c r="B461" t="s" s="32">
        <v>67</v>
      </c>
      <c r="C461" t="s" s="25">
        <v>763</v>
      </c>
      <c r="D461" s="27">
        <v>0.25</v>
      </c>
      <c r="E461" s="28">
        <v>5.75</v>
      </c>
      <c r="F461" s="28">
        <v>5.69</v>
      </c>
      <c r="G461" s="27">
        <v>0.002</v>
      </c>
      <c r="H461" s="30"/>
      <c r="I461" s="30"/>
      <c r="J461" s="30"/>
      <c r="K461" s="30"/>
      <c r="L461" s="31"/>
      <c r="M461" s="30"/>
      <c r="N461" s="30"/>
      <c r="O461" s="30"/>
      <c r="P461" s="30"/>
      <c r="Q461" s="31"/>
    </row>
    <row r="462" ht="15.75" customHeight="1">
      <c r="A462" t="s" s="25">
        <v>753</v>
      </c>
      <c r="B462" t="s" s="32">
        <v>67</v>
      </c>
      <c r="C462" t="s" s="25">
        <v>764</v>
      </c>
      <c r="D462" s="27">
        <v>0.25</v>
      </c>
      <c r="E462" s="28">
        <v>5.83</v>
      </c>
      <c r="F462" s="28">
        <v>5.5</v>
      </c>
      <c r="G462" s="27">
        <v>0.003</v>
      </c>
      <c r="H462" s="30"/>
      <c r="I462" s="30"/>
      <c r="J462" s="30"/>
      <c r="K462" s="30"/>
      <c r="L462" s="31"/>
      <c r="M462" s="30"/>
      <c r="N462" s="30"/>
      <c r="O462" s="30"/>
      <c r="P462" s="30"/>
      <c r="Q462" s="31"/>
    </row>
    <row r="463" ht="15.75" customHeight="1">
      <c r="A463" t="s" s="25">
        <v>753</v>
      </c>
      <c r="B463" t="s" s="32">
        <v>67</v>
      </c>
      <c r="C463" t="s" s="25">
        <v>765</v>
      </c>
      <c r="D463" s="27">
        <v>0.25</v>
      </c>
      <c r="E463" s="28">
        <v>5.5</v>
      </c>
      <c r="F463" s="28">
        <v>5.5</v>
      </c>
      <c r="G463" s="27">
        <v>0.002</v>
      </c>
      <c r="H463" s="30"/>
      <c r="I463" s="30"/>
      <c r="J463" s="30"/>
      <c r="K463" s="30"/>
      <c r="L463" s="31"/>
      <c r="M463" s="30"/>
      <c r="N463" s="30"/>
      <c r="O463" s="30"/>
      <c r="P463" s="30"/>
      <c r="Q463" s="31"/>
    </row>
    <row r="464" ht="15.75" customHeight="1">
      <c r="A464" t="s" s="25">
        <v>753</v>
      </c>
      <c r="B464" t="s" s="32">
        <v>67</v>
      </c>
      <c r="C464" t="s" s="25">
        <v>766</v>
      </c>
      <c r="D464" s="27">
        <v>0.01</v>
      </c>
      <c r="E464" s="28">
        <v>0</v>
      </c>
      <c r="F464" s="28">
        <v>0</v>
      </c>
      <c r="G464" s="27">
        <v>0.002</v>
      </c>
      <c r="H464" s="30"/>
      <c r="I464" s="30"/>
      <c r="J464" s="30"/>
      <c r="K464" s="30"/>
      <c r="L464" s="31"/>
      <c r="M464" s="30"/>
      <c r="N464" s="30"/>
      <c r="O464" s="30"/>
      <c r="P464" s="30"/>
      <c r="Q464" s="31"/>
    </row>
    <row r="465" ht="15.75" customHeight="1">
      <c r="A465" t="s" s="25">
        <v>753</v>
      </c>
      <c r="B465" t="s" s="32">
        <v>67</v>
      </c>
      <c r="C465" t="s" s="25">
        <v>767</v>
      </c>
      <c r="D465" s="27">
        <v>0.01</v>
      </c>
      <c r="E465" s="28">
        <v>5.8</v>
      </c>
      <c r="F465" s="28">
        <v>5.8</v>
      </c>
      <c r="G465" s="27"/>
      <c r="H465" s="30"/>
      <c r="I465" s="30"/>
      <c r="J465" s="30"/>
      <c r="K465" s="30"/>
      <c r="L465" s="31"/>
      <c r="M465" s="30"/>
      <c r="N465" s="30"/>
      <c r="O465" s="30"/>
      <c r="P465" s="30"/>
      <c r="Q465" s="31"/>
    </row>
    <row r="466" ht="15.75" customHeight="1">
      <c r="A466" t="s" s="25">
        <v>753</v>
      </c>
      <c r="B466" t="s" s="35">
        <v>86</v>
      </c>
      <c r="C466" t="s" s="25">
        <v>768</v>
      </c>
      <c r="D466" s="27">
        <v>0.95</v>
      </c>
      <c r="E466" s="28">
        <v>6.05</v>
      </c>
      <c r="F466" s="28">
        <v>6.61</v>
      </c>
      <c r="G466" s="27">
        <v>0.021</v>
      </c>
      <c r="H466" t="s" s="29">
        <v>64</v>
      </c>
      <c r="I466" s="33">
        <v>3</v>
      </c>
      <c r="J466" s="33">
        <v>2</v>
      </c>
      <c r="K466" s="33">
        <v>2</v>
      </c>
      <c r="L466" s="31"/>
      <c r="M466" t="s" s="29">
        <v>64</v>
      </c>
      <c r="N466" s="30"/>
      <c r="O466" s="30"/>
      <c r="P466" s="30"/>
      <c r="Q466" t="s" s="34">
        <v>769</v>
      </c>
    </row>
    <row r="467" ht="15.75" customHeight="1">
      <c r="A467" t="s" s="25">
        <v>753</v>
      </c>
      <c r="B467" t="s" s="35">
        <v>86</v>
      </c>
      <c r="C467" t="s" s="25">
        <v>770</v>
      </c>
      <c r="D467" s="27">
        <v>0.95</v>
      </c>
      <c r="E467" s="28">
        <v>5.96</v>
      </c>
      <c r="F467" s="28">
        <v>5.96</v>
      </c>
      <c r="G467" s="27">
        <v>0.002</v>
      </c>
      <c r="H467" t="s" s="29">
        <v>64</v>
      </c>
      <c r="I467" s="30"/>
      <c r="J467" s="30"/>
      <c r="K467" s="30"/>
      <c r="L467" s="31"/>
      <c r="M467" s="30"/>
      <c r="N467" t="s" s="29">
        <v>64</v>
      </c>
      <c r="O467" s="30"/>
      <c r="P467" s="30"/>
      <c r="Q467" t="s" s="34">
        <v>416</v>
      </c>
    </row>
    <row r="468" ht="15.75" customHeight="1">
      <c r="A468" t="s" s="25">
        <v>753</v>
      </c>
      <c r="B468" t="s" s="35">
        <v>86</v>
      </c>
      <c r="C468" t="s" s="25">
        <v>771</v>
      </c>
      <c r="D468" s="27">
        <v>0.95</v>
      </c>
      <c r="E468" s="28">
        <v>6.26</v>
      </c>
      <c r="F468" s="28">
        <v>6.78</v>
      </c>
      <c r="G468" s="27">
        <v>0.074</v>
      </c>
      <c r="H468" t="s" s="29">
        <v>64</v>
      </c>
      <c r="I468" s="30"/>
      <c r="J468" s="33">
        <v>1</v>
      </c>
      <c r="K468" s="33">
        <v>1</v>
      </c>
      <c r="L468" s="31"/>
      <c r="M468" s="30"/>
      <c r="N468" s="30"/>
      <c r="O468" s="30"/>
      <c r="P468" s="30"/>
      <c r="Q468" s="31"/>
    </row>
    <row r="469" ht="15.75" customHeight="1">
      <c r="A469" t="s" s="25">
        <v>753</v>
      </c>
      <c r="B469" t="s" s="35">
        <v>86</v>
      </c>
      <c r="C469" t="s" s="25">
        <v>772</v>
      </c>
      <c r="D469" s="27">
        <v>0.5</v>
      </c>
      <c r="E469" s="28">
        <v>5.88</v>
      </c>
      <c r="F469" s="28">
        <v>5.95</v>
      </c>
      <c r="G469" s="27">
        <v>0.002</v>
      </c>
      <c r="H469" t="s" s="29">
        <v>64</v>
      </c>
      <c r="I469" s="30"/>
      <c r="J469" s="30"/>
      <c r="K469" s="30"/>
      <c r="L469" t="s" s="34">
        <v>773</v>
      </c>
      <c r="M469" s="30"/>
      <c r="N469" s="30"/>
      <c r="O469" s="30"/>
      <c r="P469" s="30"/>
      <c r="Q469" s="31"/>
    </row>
    <row r="470" ht="15.75" customHeight="1">
      <c r="A470" t="s" s="25">
        <v>753</v>
      </c>
      <c r="B470" t="s" s="35">
        <v>86</v>
      </c>
      <c r="C470" t="s" s="25">
        <v>774</v>
      </c>
      <c r="D470" s="27">
        <v>0.5</v>
      </c>
      <c r="E470" s="28">
        <v>0</v>
      </c>
      <c r="F470" s="28">
        <v>0</v>
      </c>
      <c r="G470" s="27">
        <v>0.002</v>
      </c>
      <c r="H470" s="30"/>
      <c r="I470" s="30"/>
      <c r="J470" s="30"/>
      <c r="K470" s="30"/>
      <c r="L470" t="s" s="34">
        <v>775</v>
      </c>
      <c r="M470" s="30"/>
      <c r="N470" s="30"/>
      <c r="O470" s="30"/>
      <c r="P470" s="30"/>
      <c r="Q470" s="31"/>
    </row>
    <row r="471" ht="15.75" customHeight="1">
      <c r="A471" t="s" s="25">
        <v>753</v>
      </c>
      <c r="B471" t="s" s="35">
        <v>86</v>
      </c>
      <c r="C471" t="s" s="25">
        <v>776</v>
      </c>
      <c r="D471" s="27">
        <v>0.25</v>
      </c>
      <c r="E471" s="28">
        <v>0</v>
      </c>
      <c r="F471" s="28">
        <v>0</v>
      </c>
      <c r="G471" s="27">
        <v>0.002</v>
      </c>
      <c r="H471" s="30"/>
      <c r="I471" s="30"/>
      <c r="J471" s="30"/>
      <c r="K471" s="30"/>
      <c r="L471" s="31"/>
      <c r="M471" s="30"/>
      <c r="N471" s="30"/>
      <c r="O471" s="30"/>
      <c r="P471" s="30"/>
      <c r="Q471" s="31"/>
    </row>
    <row r="472" ht="15.75" customHeight="1">
      <c r="A472" t="s" s="25">
        <v>753</v>
      </c>
      <c r="B472" t="s" s="35">
        <v>86</v>
      </c>
      <c r="C472" t="s" s="25">
        <v>777</v>
      </c>
      <c r="D472" s="27">
        <v>0.25</v>
      </c>
      <c r="E472" s="28">
        <v>5.92</v>
      </c>
      <c r="F472" s="28">
        <v>5.92</v>
      </c>
      <c r="G472" s="27">
        <v>0.002</v>
      </c>
      <c r="H472" s="30"/>
      <c r="I472" s="30"/>
      <c r="J472" s="30"/>
      <c r="K472" s="30"/>
      <c r="L472" s="31"/>
      <c r="M472" s="30"/>
      <c r="N472" s="30"/>
      <c r="O472" s="30"/>
      <c r="P472" t="s" s="29">
        <v>64</v>
      </c>
      <c r="Q472" t="s" s="34">
        <v>778</v>
      </c>
    </row>
    <row r="473" ht="15.75" customHeight="1">
      <c r="A473" t="s" s="25">
        <v>753</v>
      </c>
      <c r="B473" t="s" s="35">
        <v>86</v>
      </c>
      <c r="C473" t="s" s="25">
        <v>779</v>
      </c>
      <c r="D473" s="27">
        <v>0.01</v>
      </c>
      <c r="E473" s="28">
        <v>0</v>
      </c>
      <c r="F473" s="28">
        <v>0</v>
      </c>
      <c r="G473" s="27">
        <v>0.002</v>
      </c>
      <c r="H473" s="30"/>
      <c r="I473" s="30"/>
      <c r="J473" s="30"/>
      <c r="K473" s="30"/>
      <c r="L473" s="31"/>
      <c r="M473" s="30"/>
      <c r="N473" s="30"/>
      <c r="O473" s="30"/>
      <c r="P473" s="30"/>
      <c r="Q473" s="31"/>
    </row>
    <row r="474" ht="15.75" customHeight="1">
      <c r="A474" t="s" s="25">
        <v>753</v>
      </c>
      <c r="B474" t="s" s="35">
        <v>86</v>
      </c>
      <c r="C474" t="s" s="25">
        <v>780</v>
      </c>
      <c r="D474" s="27">
        <v>0.01</v>
      </c>
      <c r="E474" s="28">
        <v>5.75</v>
      </c>
      <c r="F474" s="28">
        <v>5.65</v>
      </c>
      <c r="G474" s="27">
        <v>0.001</v>
      </c>
      <c r="H474" s="30"/>
      <c r="I474" s="30"/>
      <c r="J474" s="30"/>
      <c r="K474" s="30"/>
      <c r="L474" s="31"/>
      <c r="M474" s="30"/>
      <c r="N474" s="30"/>
      <c r="O474" s="30"/>
      <c r="P474" s="30"/>
      <c r="Q474" s="31"/>
    </row>
    <row r="475" ht="15.75" customHeight="1">
      <c r="A475" t="s" s="25">
        <v>753</v>
      </c>
      <c r="B475" t="s" s="36">
        <v>100</v>
      </c>
      <c r="C475" t="s" s="25">
        <v>781</v>
      </c>
      <c r="D475" s="27">
        <v>0.95</v>
      </c>
      <c r="E475" s="28">
        <v>6.32</v>
      </c>
      <c r="F475" s="28">
        <v>7.37</v>
      </c>
      <c r="G475" s="27">
        <v>0.12</v>
      </c>
      <c r="H475" t="s" s="29">
        <v>64</v>
      </c>
      <c r="I475" s="33">
        <v>1</v>
      </c>
      <c r="J475" s="30"/>
      <c r="K475" s="30"/>
      <c r="L475" s="31"/>
      <c r="M475" t="s" s="29">
        <v>64</v>
      </c>
      <c r="N475" s="30"/>
      <c r="O475" s="30"/>
      <c r="P475" s="30"/>
      <c r="Q475" t="s" s="34">
        <v>782</v>
      </c>
    </row>
    <row r="476" ht="15.75" customHeight="1">
      <c r="A476" t="s" s="25">
        <v>753</v>
      </c>
      <c r="B476" t="s" s="36">
        <v>100</v>
      </c>
      <c r="C476" t="s" s="25">
        <v>783</v>
      </c>
      <c r="D476" s="27">
        <v>0.25</v>
      </c>
      <c r="E476" s="28">
        <v>5.88</v>
      </c>
      <c r="F476" s="28">
        <v>6.24</v>
      </c>
      <c r="G476" s="27">
        <v>0.002</v>
      </c>
      <c r="H476" s="30"/>
      <c r="I476" s="30"/>
      <c r="J476" s="30"/>
      <c r="K476" s="30"/>
      <c r="L476" s="31"/>
      <c r="M476" s="30"/>
      <c r="N476" s="30"/>
      <c r="O476" s="30"/>
      <c r="P476" s="30"/>
      <c r="Q476" s="31"/>
    </row>
    <row r="477" ht="15.75" customHeight="1">
      <c r="A477" t="s" s="25">
        <v>753</v>
      </c>
      <c r="B477" t="s" s="36">
        <v>100</v>
      </c>
      <c r="C477" t="s" s="25">
        <v>784</v>
      </c>
      <c r="D477" s="27">
        <v>0.25</v>
      </c>
      <c r="E477" s="28">
        <v>5.77</v>
      </c>
      <c r="F477" s="28">
        <v>5.92</v>
      </c>
      <c r="G477" s="27">
        <v>0.002</v>
      </c>
      <c r="H477" s="30"/>
      <c r="I477" s="30"/>
      <c r="J477" s="30"/>
      <c r="K477" s="30"/>
      <c r="L477" s="31"/>
      <c r="M477" s="30"/>
      <c r="N477" s="30"/>
      <c r="O477" s="30"/>
      <c r="P477" s="30"/>
      <c r="Q477" s="31"/>
    </row>
    <row r="478" ht="15.75" customHeight="1">
      <c r="A478" t="s" s="25">
        <v>753</v>
      </c>
      <c r="B478" t="s" s="36">
        <v>100</v>
      </c>
      <c r="C478" t="s" s="25">
        <v>785</v>
      </c>
      <c r="D478" s="27">
        <v>0.01</v>
      </c>
      <c r="E478" s="28">
        <v>5.75</v>
      </c>
      <c r="F478" s="28">
        <v>5.83</v>
      </c>
      <c r="G478" s="27">
        <v>0.001</v>
      </c>
      <c r="H478" s="30"/>
      <c r="I478" s="30"/>
      <c r="J478" s="30"/>
      <c r="K478" s="30"/>
      <c r="L478" s="31"/>
      <c r="M478" s="30"/>
      <c r="N478" s="30"/>
      <c r="O478" s="30"/>
      <c r="P478" s="30"/>
      <c r="Q478" s="31"/>
    </row>
    <row r="479" ht="15.75" customHeight="1">
      <c r="A479" t="s" s="25">
        <v>786</v>
      </c>
      <c r="B479" t="s" s="26">
        <v>62</v>
      </c>
      <c r="C479" t="s" s="25">
        <v>787</v>
      </c>
      <c r="D479" s="27">
        <v>0.95</v>
      </c>
      <c r="E479" s="28">
        <v>0</v>
      </c>
      <c r="F479" s="28">
        <v>0</v>
      </c>
      <c r="G479" s="27">
        <v>0.002</v>
      </c>
      <c r="H479" t="s" s="29">
        <v>64</v>
      </c>
      <c r="I479" s="30"/>
      <c r="J479" s="30"/>
      <c r="K479" s="30"/>
      <c r="L479" s="31"/>
      <c r="M479" s="30"/>
      <c r="N479" s="30"/>
      <c r="O479" s="30"/>
      <c r="P479" s="30"/>
      <c r="Q479" s="31"/>
    </row>
    <row r="480" ht="15.75" customHeight="1">
      <c r="A480" t="s" s="25">
        <v>786</v>
      </c>
      <c r="B480" t="s" s="26">
        <v>62</v>
      </c>
      <c r="C480" t="s" s="25">
        <v>788</v>
      </c>
      <c r="D480" s="27">
        <v>0.01</v>
      </c>
      <c r="E480" s="28">
        <v>0</v>
      </c>
      <c r="F480" s="28">
        <v>0</v>
      </c>
      <c r="G480" s="27">
        <v>0.002</v>
      </c>
      <c r="H480" s="30"/>
      <c r="I480" s="30"/>
      <c r="J480" s="30"/>
      <c r="K480" s="30"/>
      <c r="L480" s="31"/>
      <c r="M480" s="30"/>
      <c r="N480" s="30"/>
      <c r="O480" s="30"/>
      <c r="P480" s="30"/>
      <c r="Q480" s="31"/>
    </row>
    <row r="481" ht="15.75" customHeight="1">
      <c r="A481" t="s" s="25">
        <v>786</v>
      </c>
      <c r="B481" t="s" s="26">
        <v>62</v>
      </c>
      <c r="C481" t="s" s="25">
        <v>789</v>
      </c>
      <c r="D481" s="27">
        <v>0.01</v>
      </c>
      <c r="E481" s="28">
        <v>0</v>
      </c>
      <c r="F481" s="28">
        <v>0</v>
      </c>
      <c r="G481" s="27">
        <v>0.002</v>
      </c>
      <c r="H481" s="30"/>
      <c r="I481" s="30"/>
      <c r="J481" s="30"/>
      <c r="K481" s="30"/>
      <c r="L481" s="31"/>
      <c r="M481" s="30"/>
      <c r="N481" s="30"/>
      <c r="O481" s="30"/>
      <c r="P481" s="30"/>
      <c r="Q481" s="31"/>
    </row>
    <row r="482" ht="15.75" customHeight="1">
      <c r="A482" t="s" s="25">
        <v>786</v>
      </c>
      <c r="B482" t="s" s="32">
        <v>67</v>
      </c>
      <c r="C482" t="s" s="25">
        <v>790</v>
      </c>
      <c r="D482" s="27">
        <v>0.95</v>
      </c>
      <c r="E482" s="28">
        <v>5.83</v>
      </c>
      <c r="F482" s="28">
        <v>5.75</v>
      </c>
      <c r="G482" s="27">
        <v>0.002</v>
      </c>
      <c r="H482" t="s" s="29">
        <v>64</v>
      </c>
      <c r="I482" s="30"/>
      <c r="J482" s="30"/>
      <c r="K482" s="30"/>
      <c r="L482" s="31"/>
      <c r="M482" s="30"/>
      <c r="N482" s="30"/>
      <c r="O482" s="30"/>
      <c r="P482" s="30"/>
      <c r="Q482" s="31"/>
    </row>
    <row r="483" ht="15.75" customHeight="1">
      <c r="A483" t="s" s="25">
        <v>786</v>
      </c>
      <c r="B483" t="s" s="32">
        <v>67</v>
      </c>
      <c r="C483" t="s" s="25">
        <v>791</v>
      </c>
      <c r="D483" s="27">
        <v>0.95</v>
      </c>
      <c r="E483" s="28">
        <v>0</v>
      </c>
      <c r="F483" s="28">
        <v>0</v>
      </c>
      <c r="G483" s="27">
        <v>0.002</v>
      </c>
      <c r="H483" t="s" s="29">
        <v>64</v>
      </c>
      <c r="I483" s="30"/>
      <c r="J483" s="30"/>
      <c r="K483" s="30"/>
      <c r="L483" s="31"/>
      <c r="M483" s="30"/>
      <c r="N483" s="30"/>
      <c r="O483" s="30"/>
      <c r="P483" s="30"/>
      <c r="Q483" s="31"/>
    </row>
    <row r="484" ht="15.75" customHeight="1">
      <c r="A484" t="s" s="25">
        <v>786</v>
      </c>
      <c r="B484" t="s" s="32">
        <v>67</v>
      </c>
      <c r="C484" t="s" s="25">
        <v>792</v>
      </c>
      <c r="D484" s="27">
        <v>0.75</v>
      </c>
      <c r="E484" s="28">
        <v>0</v>
      </c>
      <c r="F484" s="28">
        <v>0</v>
      </c>
      <c r="G484" s="27">
        <v>0.002</v>
      </c>
      <c r="H484" t="s" s="29">
        <v>64</v>
      </c>
      <c r="I484" s="30"/>
      <c r="J484" s="30"/>
      <c r="K484" s="30"/>
      <c r="L484" s="31"/>
      <c r="M484" s="30"/>
      <c r="N484" s="30"/>
      <c r="O484" t="s" s="29">
        <v>64</v>
      </c>
      <c r="P484" s="30"/>
      <c r="Q484" t="s" s="34">
        <v>793</v>
      </c>
    </row>
    <row r="485" ht="15.75" customHeight="1">
      <c r="A485" t="s" s="25">
        <v>786</v>
      </c>
      <c r="B485" t="s" s="32">
        <v>67</v>
      </c>
      <c r="C485" t="s" s="25">
        <v>794</v>
      </c>
      <c r="D485" s="27">
        <v>0.5</v>
      </c>
      <c r="E485" s="28">
        <v>0</v>
      </c>
      <c r="F485" s="28">
        <v>0</v>
      </c>
      <c r="G485" s="27">
        <v>0.002</v>
      </c>
      <c r="H485" t="s" s="29">
        <v>64</v>
      </c>
      <c r="I485" s="30"/>
      <c r="J485" s="30"/>
      <c r="K485" s="30"/>
      <c r="L485" t="s" s="34">
        <v>795</v>
      </c>
      <c r="M485" s="30"/>
      <c r="N485" s="30"/>
      <c r="O485" s="30"/>
      <c r="P485" s="30"/>
      <c r="Q485" s="31"/>
    </row>
    <row r="486" ht="15.75" customHeight="1">
      <c r="A486" t="s" s="25">
        <v>786</v>
      </c>
      <c r="B486" t="s" s="32">
        <v>67</v>
      </c>
      <c r="C486" t="s" s="25">
        <v>796</v>
      </c>
      <c r="D486" s="27">
        <v>0.5</v>
      </c>
      <c r="E486" s="28">
        <v>0</v>
      </c>
      <c r="F486" s="28">
        <v>0</v>
      </c>
      <c r="G486" s="27">
        <v>0.002</v>
      </c>
      <c r="H486" s="30"/>
      <c r="I486" s="30"/>
      <c r="J486" s="30"/>
      <c r="K486" s="30"/>
      <c r="L486" t="s" s="34">
        <v>797</v>
      </c>
      <c r="M486" s="30"/>
      <c r="N486" s="30"/>
      <c r="O486" s="30"/>
      <c r="P486" s="30"/>
      <c r="Q486" s="31"/>
    </row>
    <row r="487" ht="15.75" customHeight="1">
      <c r="A487" t="s" s="25">
        <v>786</v>
      </c>
      <c r="B487" t="s" s="32">
        <v>67</v>
      </c>
      <c r="C487" t="s" s="25">
        <v>798</v>
      </c>
      <c r="D487" s="27">
        <v>0.5</v>
      </c>
      <c r="E487" s="28">
        <v>0</v>
      </c>
      <c r="F487" s="28">
        <v>0</v>
      </c>
      <c r="G487" s="27">
        <v>0.002</v>
      </c>
      <c r="H487" s="30"/>
      <c r="I487" s="30"/>
      <c r="J487" s="30"/>
      <c r="K487" s="30"/>
      <c r="L487" t="s" s="34">
        <v>799</v>
      </c>
      <c r="M487" s="30"/>
      <c r="N487" s="30"/>
      <c r="O487" s="30"/>
      <c r="P487" s="30"/>
      <c r="Q487" s="31"/>
    </row>
    <row r="488" ht="15.75" customHeight="1">
      <c r="A488" t="s" s="25">
        <v>786</v>
      </c>
      <c r="B488" t="s" s="32">
        <v>67</v>
      </c>
      <c r="C488" t="s" s="25">
        <v>800</v>
      </c>
      <c r="D488" s="27">
        <v>0.5</v>
      </c>
      <c r="E488" s="28">
        <v>0</v>
      </c>
      <c r="F488" s="28">
        <v>0</v>
      </c>
      <c r="G488" s="27">
        <v>0.002</v>
      </c>
      <c r="H488" t="s" s="29">
        <v>64</v>
      </c>
      <c r="I488" s="30"/>
      <c r="J488" s="30"/>
      <c r="K488" s="30"/>
      <c r="L488" t="s" s="34">
        <v>801</v>
      </c>
      <c r="M488" s="30"/>
      <c r="N488" s="30"/>
      <c r="O488" s="30"/>
      <c r="P488" s="30"/>
      <c r="Q488" s="31"/>
    </row>
    <row r="489" ht="15.75" customHeight="1">
      <c r="A489" t="s" s="25">
        <v>786</v>
      </c>
      <c r="B489" t="s" s="32">
        <v>67</v>
      </c>
      <c r="C489" t="s" s="25">
        <v>802</v>
      </c>
      <c r="D489" s="27">
        <v>0.25</v>
      </c>
      <c r="E489" s="28">
        <v>0</v>
      </c>
      <c r="F489" s="28">
        <v>0</v>
      </c>
      <c r="G489" s="27"/>
      <c r="H489" s="30"/>
      <c r="I489" s="30"/>
      <c r="J489" s="30"/>
      <c r="K489" s="30"/>
      <c r="L489" s="31"/>
      <c r="M489" s="30"/>
      <c r="N489" t="s" s="29">
        <v>64</v>
      </c>
      <c r="O489" s="30"/>
      <c r="P489" s="30"/>
      <c r="Q489" t="s" s="34">
        <v>803</v>
      </c>
    </row>
    <row r="490" ht="15.75" customHeight="1">
      <c r="A490" t="s" s="25">
        <v>786</v>
      </c>
      <c r="B490" t="s" s="32">
        <v>67</v>
      </c>
      <c r="C490" t="s" s="25">
        <v>804</v>
      </c>
      <c r="D490" s="27">
        <v>0.25</v>
      </c>
      <c r="E490" s="28">
        <v>0</v>
      </c>
      <c r="F490" s="28">
        <v>0</v>
      </c>
      <c r="G490" s="27">
        <v>0.001</v>
      </c>
      <c r="H490" s="30"/>
      <c r="I490" s="30"/>
      <c r="J490" s="30"/>
      <c r="K490" s="30"/>
      <c r="L490" s="31"/>
      <c r="M490" s="30"/>
      <c r="N490" s="30"/>
      <c r="O490" s="30"/>
      <c r="P490" s="30"/>
      <c r="Q490" s="31"/>
    </row>
    <row r="491" ht="15.75" customHeight="1">
      <c r="A491" t="s" s="25">
        <v>786</v>
      </c>
      <c r="B491" t="s" s="32">
        <v>67</v>
      </c>
      <c r="C491" t="s" s="25">
        <v>805</v>
      </c>
      <c r="D491" s="27">
        <v>0.01</v>
      </c>
      <c r="E491" s="28">
        <v>0</v>
      </c>
      <c r="F491" s="28">
        <v>0</v>
      </c>
      <c r="G491" s="27">
        <v>0.002</v>
      </c>
      <c r="H491" s="30"/>
      <c r="I491" s="30"/>
      <c r="J491" s="30"/>
      <c r="K491" s="30"/>
      <c r="L491" s="31"/>
      <c r="M491" s="30"/>
      <c r="N491" s="30"/>
      <c r="O491" s="30"/>
      <c r="P491" s="30"/>
      <c r="Q491" s="31"/>
    </row>
    <row r="492" ht="15.75" customHeight="1">
      <c r="A492" t="s" s="25">
        <v>786</v>
      </c>
      <c r="B492" t="s" s="32">
        <v>67</v>
      </c>
      <c r="C492" t="s" s="25">
        <v>806</v>
      </c>
      <c r="D492" s="27">
        <v>0.01</v>
      </c>
      <c r="E492" s="28">
        <v>0</v>
      </c>
      <c r="F492" s="28">
        <v>0</v>
      </c>
      <c r="G492" s="27"/>
      <c r="H492" s="30"/>
      <c r="I492" s="30"/>
      <c r="J492" s="30"/>
      <c r="K492" s="30"/>
      <c r="L492" s="31"/>
      <c r="M492" s="30"/>
      <c r="N492" s="30"/>
      <c r="O492" s="30"/>
      <c r="P492" s="30"/>
      <c r="Q492" s="31"/>
    </row>
    <row r="493" ht="15.75" customHeight="1">
      <c r="A493" t="s" s="25">
        <v>786</v>
      </c>
      <c r="B493" t="s" s="35">
        <v>86</v>
      </c>
      <c r="C493" t="s" s="25">
        <v>807</v>
      </c>
      <c r="D493" s="27">
        <v>0.95</v>
      </c>
      <c r="E493" s="28">
        <v>0</v>
      </c>
      <c r="F493" s="28">
        <v>0</v>
      </c>
      <c r="G493" s="27">
        <v>0.002</v>
      </c>
      <c r="H493" t="s" s="29">
        <v>64</v>
      </c>
      <c r="I493" s="30"/>
      <c r="J493" s="33">
        <v>1</v>
      </c>
      <c r="K493" s="33">
        <v>1</v>
      </c>
      <c r="L493" s="31"/>
      <c r="M493" t="s" s="29">
        <v>64</v>
      </c>
      <c r="N493" s="30"/>
      <c r="O493" s="30"/>
      <c r="P493" s="30"/>
      <c r="Q493" t="s" s="34">
        <v>808</v>
      </c>
    </row>
    <row r="494" ht="15.75" customHeight="1">
      <c r="A494" t="s" s="25">
        <v>786</v>
      </c>
      <c r="B494" t="s" s="35">
        <v>86</v>
      </c>
      <c r="C494" t="s" s="25">
        <v>809</v>
      </c>
      <c r="D494" s="27">
        <v>0.75</v>
      </c>
      <c r="E494" s="28">
        <v>6.09</v>
      </c>
      <c r="F494" s="28">
        <v>6.44</v>
      </c>
      <c r="G494" s="27">
        <v>0.002</v>
      </c>
      <c r="H494" t="s" s="29">
        <v>64</v>
      </c>
      <c r="I494" s="30"/>
      <c r="J494" s="33">
        <v>2</v>
      </c>
      <c r="K494" s="33">
        <v>3</v>
      </c>
      <c r="L494" s="31"/>
      <c r="M494" s="30"/>
      <c r="N494" s="30"/>
      <c r="O494" s="30"/>
      <c r="P494" s="30"/>
      <c r="Q494" s="31"/>
    </row>
    <row r="495" ht="15.75" customHeight="1">
      <c r="A495" t="s" s="25">
        <v>786</v>
      </c>
      <c r="B495" t="s" s="35">
        <v>86</v>
      </c>
      <c r="C495" t="s" s="25">
        <v>810</v>
      </c>
      <c r="D495" s="27">
        <v>0.5</v>
      </c>
      <c r="E495" s="28">
        <v>0</v>
      </c>
      <c r="F495" s="28">
        <v>0</v>
      </c>
      <c r="G495" s="27">
        <v>0.002</v>
      </c>
      <c r="H495" s="30"/>
      <c r="I495" s="30"/>
      <c r="J495" s="30"/>
      <c r="K495" s="30"/>
      <c r="L495" s="31"/>
      <c r="M495" s="30"/>
      <c r="N495" s="30"/>
      <c r="O495" s="30"/>
      <c r="P495" t="s" s="29">
        <v>64</v>
      </c>
      <c r="Q495" t="s" s="34">
        <v>811</v>
      </c>
    </row>
    <row r="496" ht="15.75" customHeight="1">
      <c r="A496" t="s" s="25">
        <v>786</v>
      </c>
      <c r="B496" t="s" s="35">
        <v>86</v>
      </c>
      <c r="C496" t="s" s="25">
        <v>812</v>
      </c>
      <c r="D496" s="27">
        <v>0.5</v>
      </c>
      <c r="E496" s="28">
        <v>0</v>
      </c>
      <c r="F496" s="28">
        <v>0</v>
      </c>
      <c r="G496" s="27">
        <v>0.002</v>
      </c>
      <c r="H496" s="30"/>
      <c r="I496" s="30"/>
      <c r="J496" s="30"/>
      <c r="K496" s="33">
        <v>2</v>
      </c>
      <c r="L496" s="31"/>
      <c r="M496" s="30"/>
      <c r="N496" s="30"/>
      <c r="O496" s="30"/>
      <c r="P496" s="30"/>
      <c r="Q496" s="31"/>
    </row>
    <row r="497" ht="15.75" customHeight="1">
      <c r="A497" t="s" s="25">
        <v>786</v>
      </c>
      <c r="B497" t="s" s="35">
        <v>86</v>
      </c>
      <c r="C497" t="s" s="25">
        <v>813</v>
      </c>
      <c r="D497" s="27">
        <v>0.5</v>
      </c>
      <c r="E497" s="28">
        <v>5.65</v>
      </c>
      <c r="F497" s="28">
        <v>5.63</v>
      </c>
      <c r="G497" s="27">
        <v>0.002</v>
      </c>
      <c r="H497" t="s" s="29">
        <v>64</v>
      </c>
      <c r="I497" s="30"/>
      <c r="J497" s="30"/>
      <c r="K497" s="30"/>
      <c r="L497" s="31"/>
      <c r="M497" s="30"/>
      <c r="N497" s="30"/>
      <c r="O497" s="30"/>
      <c r="P497" s="30"/>
      <c r="Q497" s="31"/>
    </row>
    <row r="498" ht="15.75" customHeight="1">
      <c r="A498" t="s" s="25">
        <v>786</v>
      </c>
      <c r="B498" t="s" s="35">
        <v>86</v>
      </c>
      <c r="C498" t="s" s="25">
        <v>814</v>
      </c>
      <c r="D498" s="27">
        <v>0.25</v>
      </c>
      <c r="E498" s="28">
        <v>5.63</v>
      </c>
      <c r="F498" s="28">
        <v>5.63</v>
      </c>
      <c r="G498" s="27">
        <v>0.002</v>
      </c>
      <c r="H498" s="30"/>
      <c r="I498" s="30"/>
      <c r="J498" s="30"/>
      <c r="K498" s="30"/>
      <c r="L498" s="31"/>
      <c r="M498" s="30"/>
      <c r="N498" s="30"/>
      <c r="O498" s="30"/>
      <c r="P498" s="30"/>
      <c r="Q498" s="31"/>
    </row>
    <row r="499" ht="15.75" customHeight="1">
      <c r="A499" t="s" s="25">
        <v>786</v>
      </c>
      <c r="B499" t="s" s="35">
        <v>86</v>
      </c>
      <c r="C499" t="s" s="25">
        <v>815</v>
      </c>
      <c r="D499" s="27">
        <v>0.01</v>
      </c>
      <c r="E499" s="28">
        <v>0</v>
      </c>
      <c r="F499" s="28">
        <v>0</v>
      </c>
      <c r="G499" s="27">
        <v>0.002</v>
      </c>
      <c r="H499" s="30"/>
      <c r="I499" s="30"/>
      <c r="J499" s="30"/>
      <c r="K499" s="30"/>
      <c r="L499" s="31"/>
      <c r="M499" s="30"/>
      <c r="N499" s="30"/>
      <c r="O499" s="30"/>
      <c r="P499" s="30"/>
      <c r="Q499" s="31"/>
    </row>
    <row r="500" ht="15.75" customHeight="1">
      <c r="A500" t="s" s="25">
        <v>786</v>
      </c>
      <c r="B500" t="s" s="36">
        <v>100</v>
      </c>
      <c r="C500" t="s" s="25">
        <v>816</v>
      </c>
      <c r="D500" s="27">
        <v>0.75</v>
      </c>
      <c r="E500" s="28">
        <v>0</v>
      </c>
      <c r="F500" s="28">
        <v>0</v>
      </c>
      <c r="G500" s="27">
        <v>0.02</v>
      </c>
      <c r="H500" t="s" s="29">
        <v>64</v>
      </c>
      <c r="I500" s="33">
        <v>1</v>
      </c>
      <c r="J500" s="30"/>
      <c r="K500" s="30"/>
      <c r="L500" t="s" s="34">
        <v>817</v>
      </c>
      <c r="M500" s="30"/>
      <c r="N500" s="30"/>
      <c r="O500" s="30"/>
      <c r="P500" s="30"/>
      <c r="Q500" s="31"/>
    </row>
    <row r="501" ht="15.75" customHeight="1">
      <c r="A501" t="s" s="25">
        <v>786</v>
      </c>
      <c r="B501" t="s" s="36">
        <v>100</v>
      </c>
      <c r="C501" t="s" s="25">
        <v>818</v>
      </c>
      <c r="D501" s="27">
        <v>0.75</v>
      </c>
      <c r="E501" s="28">
        <v>0</v>
      </c>
      <c r="F501" s="28">
        <v>0</v>
      </c>
      <c r="G501" s="27">
        <v>0.005</v>
      </c>
      <c r="H501" t="s" s="29">
        <v>64</v>
      </c>
      <c r="I501" s="33">
        <v>3</v>
      </c>
      <c r="J501" s="30"/>
      <c r="K501" s="30"/>
      <c r="L501" s="31"/>
      <c r="M501" t="s" s="29">
        <v>64</v>
      </c>
      <c r="N501" s="30"/>
      <c r="O501" s="30"/>
      <c r="P501" s="30"/>
      <c r="Q501" t="s" s="34">
        <v>819</v>
      </c>
    </row>
    <row r="502" ht="15.75" customHeight="1">
      <c r="A502" t="s" s="25">
        <v>786</v>
      </c>
      <c r="B502" t="s" s="36">
        <v>100</v>
      </c>
      <c r="C502" t="s" s="25">
        <v>820</v>
      </c>
      <c r="D502" s="27">
        <v>0.5</v>
      </c>
      <c r="E502" s="28">
        <v>0</v>
      </c>
      <c r="F502" s="28">
        <v>0</v>
      </c>
      <c r="G502" s="27">
        <v>0.002</v>
      </c>
      <c r="H502" s="30"/>
      <c r="I502" s="33">
        <v>2</v>
      </c>
      <c r="J502" s="30"/>
      <c r="K502" s="30"/>
      <c r="L502" t="s" s="34">
        <v>821</v>
      </c>
      <c r="M502" s="30"/>
      <c r="N502" s="30"/>
      <c r="O502" s="30"/>
      <c r="P502" s="30"/>
      <c r="Q502" s="31"/>
    </row>
    <row r="503" ht="15.75" customHeight="1">
      <c r="A503" t="s" s="25">
        <v>786</v>
      </c>
      <c r="B503" t="s" s="36">
        <v>100</v>
      </c>
      <c r="C503" t="s" s="25">
        <v>822</v>
      </c>
      <c r="D503" s="27">
        <v>0.25</v>
      </c>
      <c r="E503" s="28">
        <v>0</v>
      </c>
      <c r="F503" s="28">
        <v>0</v>
      </c>
      <c r="G503" s="27">
        <v>0.002</v>
      </c>
      <c r="H503" s="30"/>
      <c r="I503" s="30"/>
      <c r="J503" s="30"/>
      <c r="K503" s="30"/>
      <c r="L503" s="31"/>
      <c r="M503" s="30"/>
      <c r="N503" s="30"/>
      <c r="O503" s="30"/>
      <c r="P503" s="30"/>
      <c r="Q503" s="31"/>
    </row>
    <row r="504" ht="15.75" customHeight="1">
      <c r="A504" t="s" s="25">
        <v>786</v>
      </c>
      <c r="B504" t="s" s="36">
        <v>100</v>
      </c>
      <c r="C504" t="s" s="25">
        <v>823</v>
      </c>
      <c r="D504" s="27">
        <v>0.25</v>
      </c>
      <c r="E504" s="28">
        <v>0</v>
      </c>
      <c r="F504" s="28">
        <v>0</v>
      </c>
      <c r="G504" s="27">
        <v>0.002</v>
      </c>
      <c r="H504" s="30"/>
      <c r="I504" s="30"/>
      <c r="J504" s="30"/>
      <c r="K504" s="30"/>
      <c r="L504" s="31"/>
      <c r="M504" s="30"/>
      <c r="N504" s="30"/>
      <c r="O504" s="30"/>
      <c r="P504" s="30"/>
      <c r="Q504" s="31"/>
    </row>
    <row r="505" ht="15.75" customHeight="1">
      <c r="A505" t="s" s="25">
        <v>786</v>
      </c>
      <c r="B505" t="s" s="36">
        <v>100</v>
      </c>
      <c r="C505" t="s" s="25">
        <v>824</v>
      </c>
      <c r="D505" s="27">
        <v>0.01</v>
      </c>
      <c r="E505" s="28">
        <v>0</v>
      </c>
      <c r="F505" s="28">
        <v>0</v>
      </c>
      <c r="G505" s="27">
        <v>0.002</v>
      </c>
      <c r="H505" s="30"/>
      <c r="I505" s="30"/>
      <c r="J505" s="30"/>
      <c r="K505" s="30"/>
      <c r="L505" s="31"/>
      <c r="M505" s="30"/>
      <c r="N505" s="30"/>
      <c r="O505" s="30"/>
      <c r="P505" s="30"/>
      <c r="Q505" s="31"/>
    </row>
  </sheetData>
  <pageMargins left="0.75" right="0.75" top="1" bottom="1" header="0" footer="0"/>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J100"/>
  <sheetViews>
    <sheetView workbookViewId="0" showGridLines="0" defaultGridColor="1"/>
  </sheetViews>
  <sheetFormatPr defaultColWidth="14.5" defaultRowHeight="15" customHeight="1" outlineLevelRow="0" outlineLevelCol="0"/>
  <cols>
    <col min="1" max="1" width="15" style="37" customWidth="1"/>
    <col min="2" max="2" width="10" style="37" customWidth="1"/>
    <col min="3" max="3" width="20" style="37" customWidth="1"/>
    <col min="4" max="5" width="13" style="37" customWidth="1"/>
    <col min="6" max="7" width="12" style="37" customWidth="1"/>
    <col min="8" max="9" width="58" style="37" customWidth="1"/>
    <col min="10" max="10" width="42" style="37" customWidth="1"/>
    <col min="11" max="16384" width="14.5" style="37" customWidth="1"/>
  </cols>
  <sheetData>
    <row r="1" ht="17.55" customHeight="1">
      <c r="A1" t="s" s="38">
        <v>825</v>
      </c>
      <c r="B1" s="39"/>
      <c r="C1" s="39"/>
      <c r="D1" s="39"/>
      <c r="E1" s="39"/>
      <c r="F1" s="39"/>
      <c r="G1" s="39"/>
      <c r="H1" s="39"/>
      <c r="I1" s="39"/>
      <c r="J1" s="39"/>
    </row>
    <row r="2" ht="13.55" customHeight="1">
      <c r="A2" s="40"/>
      <c r="B2" s="40"/>
      <c r="C2" s="40"/>
      <c r="D2" s="40"/>
      <c r="E2" s="40"/>
      <c r="F2" s="40"/>
      <c r="G2" s="40"/>
      <c r="H2" s="40"/>
      <c r="I2" s="40"/>
      <c r="J2" s="40"/>
    </row>
    <row r="3" ht="30" customHeight="1">
      <c r="A3" t="s" s="24">
        <v>50</v>
      </c>
      <c r="B3" t="s" s="24">
        <v>826</v>
      </c>
      <c r="C3" t="s" s="24">
        <v>827</v>
      </c>
      <c r="D3" t="s" s="24">
        <v>828</v>
      </c>
      <c r="E3" t="s" s="24">
        <v>829</v>
      </c>
      <c r="F3" t="s" s="24">
        <v>830</v>
      </c>
      <c r="G3" t="s" s="24">
        <v>831</v>
      </c>
      <c r="H3" t="s" s="24">
        <v>832</v>
      </c>
      <c r="I3" t="s" s="24">
        <v>833</v>
      </c>
      <c r="J3" t="s" s="24">
        <v>834</v>
      </c>
    </row>
    <row r="4" ht="45.75" customHeight="1">
      <c r="A4" t="s" s="41">
        <v>61</v>
      </c>
      <c r="B4" t="s" s="42">
        <v>835</v>
      </c>
      <c r="C4" t="s" s="42">
        <v>836</v>
      </c>
      <c r="D4" s="43">
        <v>4</v>
      </c>
      <c r="E4" s="43">
        <v>4</v>
      </c>
      <c r="F4" s="33" cm="1">
        <f t="array" ref="F4">COUNTIF('Giocatori'!$A$2:$A$505,$A4)</f>
        <v>24</v>
      </c>
      <c r="G4" s="33" cm="1">
        <f t="array" ref="G4">_xlfn.COUNTIFS('Giocatori'!$A$2:$A$505,$A4,'Giocatori'!$D$2:$D$505,"&gt;=0.95")</f>
        <v>0</v>
      </c>
      <c r="H4" t="s" s="44">
        <v>837</v>
      </c>
      <c r="I4" t="s" s="44">
        <v>838</v>
      </c>
      <c r="J4" t="s" s="44">
        <v>839</v>
      </c>
    </row>
    <row r="5" ht="45.75" customHeight="1">
      <c r="A5" t="s" s="41">
        <v>109</v>
      </c>
      <c r="B5" t="s" s="42">
        <v>835</v>
      </c>
      <c r="C5" t="s" s="42">
        <v>840</v>
      </c>
      <c r="D5" s="43">
        <v>4</v>
      </c>
      <c r="E5" s="43">
        <v>3.5</v>
      </c>
      <c r="F5" s="33" cm="1">
        <f t="array" ref="F5">COUNTIF('Giocatori'!$A$2:$A$505,$A5)</f>
        <v>24</v>
      </c>
      <c r="G5" s="33" cm="1">
        <f t="array" ref="G5">_xlfn.COUNTIFS('Giocatori'!$A$2:$A$505,$A5,'Giocatori'!$D$2:$D$505,"&gt;=0.95")</f>
        <v>0</v>
      </c>
      <c r="H5" t="s" s="44">
        <v>841</v>
      </c>
      <c r="I5" t="s" s="44">
        <v>842</v>
      </c>
      <c r="J5" t="s" s="44">
        <v>839</v>
      </c>
    </row>
    <row r="6" ht="45.75" customHeight="1">
      <c r="A6" t="s" s="41">
        <v>145</v>
      </c>
      <c r="B6" t="s" s="42">
        <v>835</v>
      </c>
      <c r="C6" t="s" s="42">
        <v>843</v>
      </c>
      <c r="D6" s="43">
        <v>2.5</v>
      </c>
      <c r="E6" s="43">
        <v>2.5</v>
      </c>
      <c r="F6" s="33" cm="1">
        <f t="array" ref="F6">COUNTIF('Giocatori'!$A$2:$A$505,$A6)</f>
        <v>27</v>
      </c>
      <c r="G6" s="33" cm="1">
        <f t="array" ref="G6">_xlfn.COUNTIFS('Giocatori'!$A$2:$A$505,$A6,'Giocatori'!$D$2:$D$505,"&gt;=0.95")</f>
        <v>0</v>
      </c>
      <c r="H6" t="s" s="44">
        <v>844</v>
      </c>
      <c r="I6" t="s" s="44">
        <v>845</v>
      </c>
      <c r="J6" t="s" s="44">
        <v>839</v>
      </c>
    </row>
    <row r="7" ht="45.75" customHeight="1">
      <c r="A7" t="s" s="41">
        <v>185</v>
      </c>
      <c r="B7" t="s" s="42">
        <v>846</v>
      </c>
      <c r="C7" t="s" s="42">
        <v>847</v>
      </c>
      <c r="D7" s="43">
        <v>5</v>
      </c>
      <c r="E7" s="43">
        <v>4.5</v>
      </c>
      <c r="F7" s="33" cm="1">
        <f t="array" ref="F7">COUNTIF('Giocatori'!$A$2:$A$505,$A7)</f>
        <v>29</v>
      </c>
      <c r="G7" s="33" cm="1">
        <f t="array" ref="G7">_xlfn.COUNTIFS('Giocatori'!$A$2:$A$505,$A7,'Giocatori'!$D$2:$D$505,"&gt;=0.95")</f>
        <v>0</v>
      </c>
      <c r="H7" t="s" s="44">
        <v>848</v>
      </c>
      <c r="I7" t="s" s="44">
        <v>849</v>
      </c>
      <c r="J7" t="s" s="44">
        <v>850</v>
      </c>
    </row>
    <row r="8" ht="45.75" customHeight="1">
      <c r="A8" t="s" s="41">
        <v>231</v>
      </c>
      <c r="B8" t="s" s="42">
        <v>851</v>
      </c>
      <c r="C8" t="s" s="42">
        <v>852</v>
      </c>
      <c r="D8" s="43">
        <v>3</v>
      </c>
      <c r="E8" s="43">
        <v>3</v>
      </c>
      <c r="F8" s="33" cm="1">
        <f t="array" ref="F8">COUNTIF('Giocatori'!$A$2:$A$505,$A8)</f>
        <v>23</v>
      </c>
      <c r="G8" s="33" cm="1">
        <f t="array" ref="G8">_xlfn.COUNTIFS('Giocatori'!$A$2:$A$505,$A8,'Giocatori'!$D$2:$D$505,"&gt;=0.95")</f>
        <v>0</v>
      </c>
      <c r="H8" t="s" s="44">
        <v>853</v>
      </c>
      <c r="I8" t="s" s="44">
        <v>854</v>
      </c>
      <c r="J8" t="s" s="44">
        <v>855</v>
      </c>
    </row>
    <row r="9" ht="45.75" customHeight="1">
      <c r="A9" t="s" s="41">
        <v>269</v>
      </c>
      <c r="B9" t="s" s="42">
        <v>835</v>
      </c>
      <c r="C9" t="s" s="42">
        <v>856</v>
      </c>
      <c r="D9" s="43">
        <v>2.5</v>
      </c>
      <c r="E9" s="43">
        <v>2</v>
      </c>
      <c r="F9" s="33" cm="1">
        <f t="array" ref="F9">COUNTIF('Giocatori'!$A$2:$A$505,$A9)</f>
        <v>30</v>
      </c>
      <c r="G9" s="33" cm="1">
        <f t="array" ref="G9">_xlfn.COUNTIFS('Giocatori'!$A$2:$A$505,$A9,'Giocatori'!$D$2:$D$505,"&gt;=0.95")</f>
        <v>0</v>
      </c>
      <c r="H9" t="s" s="44">
        <v>857</v>
      </c>
      <c r="I9" t="s" s="44">
        <v>858</v>
      </c>
      <c r="J9" t="s" s="44">
        <v>839</v>
      </c>
    </row>
    <row r="10" ht="45.75" customHeight="1">
      <c r="A10" t="s" s="41">
        <v>315</v>
      </c>
      <c r="B10" t="s" s="42">
        <v>859</v>
      </c>
      <c r="C10" t="s" s="42">
        <v>860</v>
      </c>
      <c r="D10" s="43">
        <v>3</v>
      </c>
      <c r="E10" s="43">
        <v>3</v>
      </c>
      <c r="F10" s="33" cm="1">
        <f t="array" ref="F10">COUNTIF('Giocatori'!$A$2:$A$505,$A10)</f>
        <v>25</v>
      </c>
      <c r="G10" s="33" cm="1">
        <f t="array" ref="G10">_xlfn.COUNTIFS('Giocatori'!$A$2:$A$505,$A10,'Giocatori'!$D$2:$D$505,"&gt;=0.95")</f>
        <v>0</v>
      </c>
      <c r="H10" t="s" s="44">
        <v>861</v>
      </c>
      <c r="I10" t="s" s="44">
        <v>862</v>
      </c>
      <c r="J10" t="s" s="44">
        <v>863</v>
      </c>
    </row>
    <row r="11" ht="45.75" customHeight="1">
      <c r="A11" t="s" s="41">
        <v>352</v>
      </c>
      <c r="B11" t="s" s="42">
        <v>864</v>
      </c>
      <c r="C11" t="s" s="42">
        <v>865</v>
      </c>
      <c r="D11" s="43">
        <v>5</v>
      </c>
      <c r="E11" s="43">
        <v>5</v>
      </c>
      <c r="F11" s="33" cm="1">
        <f t="array" ref="F11">COUNTIF('Giocatori'!$A$2:$A$505,$A11)</f>
        <v>23</v>
      </c>
      <c r="G11" s="33" cm="1">
        <f t="array" ref="G11">_xlfn.COUNTIFS('Giocatori'!$A$2:$A$505,$A11,'Giocatori'!$D$2:$D$505,"&gt;=0.95")</f>
        <v>0</v>
      </c>
      <c r="H11" t="s" s="44">
        <v>866</v>
      </c>
      <c r="I11" t="s" s="44">
        <v>867</v>
      </c>
      <c r="J11" t="s" s="44">
        <v>868</v>
      </c>
    </row>
    <row r="12" ht="45.75" customHeight="1">
      <c r="A12" t="s" s="41">
        <v>390</v>
      </c>
      <c r="B12" t="s" s="42">
        <v>846</v>
      </c>
      <c r="C12" t="s" s="42">
        <v>869</v>
      </c>
      <c r="D12" s="43">
        <v>4.5</v>
      </c>
      <c r="E12" s="43">
        <v>4.5</v>
      </c>
      <c r="F12" s="33" cm="1">
        <f t="array" ref="F12">COUNTIF('Giocatori'!$A$2:$A$505,$A12)</f>
        <v>27</v>
      </c>
      <c r="G12" s="33" cm="1">
        <f t="array" ref="G12">_xlfn.COUNTIFS('Giocatori'!$A$2:$A$505,$A12,'Giocatori'!$D$2:$D$505,"&gt;=0.95")</f>
        <v>0</v>
      </c>
      <c r="H12" t="s" s="44">
        <v>870</v>
      </c>
      <c r="I12" t="s" s="44">
        <v>871</v>
      </c>
      <c r="J12" t="s" s="44">
        <v>850</v>
      </c>
    </row>
    <row r="13" ht="45.75" customHeight="1">
      <c r="A13" t="s" s="41">
        <v>428</v>
      </c>
      <c r="B13" t="s" s="42">
        <v>835</v>
      </c>
      <c r="C13" t="s" s="42">
        <v>872</v>
      </c>
      <c r="D13" s="43">
        <v>3.5</v>
      </c>
      <c r="E13" s="43">
        <v>4</v>
      </c>
      <c r="F13" s="33" cm="1">
        <f t="array" ref="F13">COUNTIF('Giocatori'!$A$2:$A$505,$A13)</f>
        <v>26</v>
      </c>
      <c r="G13" s="33" cm="1">
        <f t="array" ref="G13">_xlfn.COUNTIFS('Giocatori'!$A$2:$A$505,$A13,'Giocatori'!$D$2:$D$505,"&gt;=0.95")</f>
        <v>0</v>
      </c>
      <c r="H13" t="s" s="44">
        <v>873</v>
      </c>
      <c r="I13" t="s" s="44">
        <v>874</v>
      </c>
      <c r="J13" t="s" s="44">
        <v>839</v>
      </c>
    </row>
    <row r="14" ht="45.75" customHeight="1">
      <c r="A14" t="s" s="41">
        <v>468</v>
      </c>
      <c r="B14" t="s" s="42">
        <v>835</v>
      </c>
      <c r="C14" t="s" s="42">
        <v>875</v>
      </c>
      <c r="D14" s="43">
        <v>2</v>
      </c>
      <c r="E14" s="43">
        <v>2.5</v>
      </c>
      <c r="F14" s="33" cm="1">
        <f t="array" ref="F14">COUNTIF('Giocatori'!$A$2:$A$505,$A14)</f>
        <v>21</v>
      </c>
      <c r="G14" s="33" cm="1">
        <f t="array" ref="G14">_xlfn.COUNTIFS('Giocatori'!$A$2:$A$505,$A14,'Giocatori'!$D$2:$D$505,"&gt;=0.95")</f>
        <v>0</v>
      </c>
      <c r="H14" t="s" s="44">
        <v>876</v>
      </c>
      <c r="I14" t="s" s="44">
        <v>877</v>
      </c>
      <c r="J14" t="s" s="44">
        <v>839</v>
      </c>
    </row>
    <row r="15" ht="45.75" customHeight="1">
      <c r="A15" t="s" s="41">
        <v>498</v>
      </c>
      <c r="B15" t="s" s="42">
        <v>859</v>
      </c>
      <c r="C15" t="s" s="42">
        <v>878</v>
      </c>
      <c r="D15" s="43">
        <v>4.5</v>
      </c>
      <c r="E15" s="43">
        <v>4.5</v>
      </c>
      <c r="F15" s="33" cm="1">
        <f t="array" ref="F15">COUNTIF('Giocatori'!$A$2:$A$505,$A15)</f>
        <v>27</v>
      </c>
      <c r="G15" s="33" cm="1">
        <f t="array" ref="G15">_xlfn.COUNTIFS('Giocatori'!$A$2:$A$505,$A15,'Giocatori'!$D$2:$D$505,"&gt;=0.95")</f>
        <v>0</v>
      </c>
      <c r="H15" t="s" s="44">
        <v>879</v>
      </c>
      <c r="I15" t="s" s="44">
        <v>880</v>
      </c>
      <c r="J15" t="s" s="44">
        <v>863</v>
      </c>
    </row>
    <row r="16" ht="45.75" customHeight="1">
      <c r="A16" t="s" s="41">
        <v>534</v>
      </c>
      <c r="B16" t="s" s="42">
        <v>859</v>
      </c>
      <c r="C16" t="s" s="42">
        <v>881</v>
      </c>
      <c r="D16" s="43">
        <v>2</v>
      </c>
      <c r="E16" s="43">
        <v>2</v>
      </c>
      <c r="F16" s="33" cm="1">
        <f t="array" ref="F16">COUNTIF('Giocatori'!$A$2:$A$505,$A16)</f>
        <v>22</v>
      </c>
      <c r="G16" s="33" cm="1">
        <f t="array" ref="G16">_xlfn.COUNTIFS('Giocatori'!$A$2:$A$505,$A16,'Giocatori'!$D$2:$D$505,"&gt;=0.95")</f>
        <v>0</v>
      </c>
      <c r="H16" t="s" s="44">
        <v>882</v>
      </c>
      <c r="I16" t="s" s="44">
        <v>883</v>
      </c>
      <c r="J16" t="s" s="44">
        <v>863</v>
      </c>
    </row>
    <row r="17" ht="45.75" customHeight="1">
      <c r="A17" t="s" s="41">
        <v>568</v>
      </c>
      <c r="B17" t="s" s="42">
        <v>835</v>
      </c>
      <c r="C17" t="s" s="42">
        <v>884</v>
      </c>
      <c r="D17" s="43">
        <v>4.5</v>
      </c>
      <c r="E17" s="43">
        <v>4.5</v>
      </c>
      <c r="F17" s="33" cm="1">
        <f t="array" ref="F17">COUNTIF('Giocatori'!$A$2:$A$505,$A17)</f>
        <v>26</v>
      </c>
      <c r="G17" s="33" cm="1">
        <f t="array" ref="G17">_xlfn.COUNTIFS('Giocatori'!$A$2:$A$505,$A17,'Giocatori'!$D$2:$D$505,"&gt;=0.95")</f>
        <v>0</v>
      </c>
      <c r="H17" t="s" s="44">
        <v>885</v>
      </c>
      <c r="I17" t="s" s="44">
        <v>886</v>
      </c>
      <c r="J17" t="s" s="44">
        <v>839</v>
      </c>
    </row>
    <row r="18" ht="45.75" customHeight="1">
      <c r="A18" t="s" s="41">
        <v>602</v>
      </c>
      <c r="B18" t="s" s="42">
        <v>835</v>
      </c>
      <c r="C18" t="s" s="42">
        <v>887</v>
      </c>
      <c r="D18" s="43">
        <v>2</v>
      </c>
      <c r="E18" s="43">
        <v>2.5</v>
      </c>
      <c r="F18" s="33" cm="1">
        <f t="array" ref="F18">COUNTIF('Giocatori'!$A$2:$A$505,$A18)</f>
        <v>24</v>
      </c>
      <c r="G18" s="33" cm="1">
        <f t="array" ref="G18">_xlfn.COUNTIFS('Giocatori'!$A$2:$A$505,$A18,'Giocatori'!$D$2:$D$505,"&gt;=0.95")</f>
        <v>0</v>
      </c>
      <c r="H18" t="s" s="44">
        <v>888</v>
      </c>
      <c r="I18" t="s" s="44">
        <v>889</v>
      </c>
      <c r="J18" t="s" s="44">
        <v>839</v>
      </c>
    </row>
    <row r="19" ht="45.75" customHeight="1">
      <c r="A19" t="s" s="41">
        <v>641</v>
      </c>
      <c r="B19" t="s" s="42">
        <v>859</v>
      </c>
      <c r="C19" t="s" s="42">
        <v>890</v>
      </c>
      <c r="D19" s="43">
        <v>4.5</v>
      </c>
      <c r="E19" s="43">
        <v>5</v>
      </c>
      <c r="F19" s="33" cm="1">
        <f t="array" ref="F19">COUNTIF('Giocatori'!$A$2:$A$505,$A19)</f>
        <v>22</v>
      </c>
      <c r="G19" s="33" cm="1">
        <f t="array" ref="G19">_xlfn.COUNTIFS('Giocatori'!$A$2:$A$505,$A19,'Giocatori'!$D$2:$D$505,"&gt;=0.95")</f>
        <v>0</v>
      </c>
      <c r="H19" t="s" s="44">
        <v>891</v>
      </c>
      <c r="I19" t="s" s="44">
        <v>892</v>
      </c>
      <c r="J19" t="s" s="44">
        <v>863</v>
      </c>
    </row>
    <row r="20" ht="45.75" customHeight="1">
      <c r="A20" t="s" s="41">
        <v>675</v>
      </c>
      <c r="B20" t="s" s="42">
        <v>846</v>
      </c>
      <c r="C20" t="s" s="42">
        <v>893</v>
      </c>
      <c r="D20" s="43">
        <v>3</v>
      </c>
      <c r="E20" s="43">
        <v>2.5</v>
      </c>
      <c r="F20" s="33" cm="1">
        <f t="array" ref="F20">COUNTIF('Giocatori'!$A$2:$A$505,$A20)</f>
        <v>26</v>
      </c>
      <c r="G20" s="33" cm="1">
        <f t="array" ref="G20">_xlfn.COUNTIFS('Giocatori'!$A$2:$A$505,$A20,'Giocatori'!$D$2:$D$505,"&gt;=0.95")</f>
        <v>0</v>
      </c>
      <c r="H20" t="s" s="44">
        <v>894</v>
      </c>
      <c r="I20" t="s" s="44">
        <v>895</v>
      </c>
      <c r="J20" t="s" s="44">
        <v>850</v>
      </c>
    </row>
    <row r="21" ht="45.75" customHeight="1">
      <c r="A21" t="s" s="41">
        <v>717</v>
      </c>
      <c r="B21" t="s" s="42">
        <v>859</v>
      </c>
      <c r="C21" t="s" s="42">
        <v>896</v>
      </c>
      <c r="D21" s="43">
        <v>2.5</v>
      </c>
      <c r="E21" s="43">
        <v>2</v>
      </c>
      <c r="F21" s="33" cm="1">
        <f t="array" ref="F21">COUNTIF('Giocatori'!$A$2:$A$505,$A21)</f>
        <v>24</v>
      </c>
      <c r="G21" s="33" cm="1">
        <f t="array" ref="G21">_xlfn.COUNTIFS('Giocatori'!$A$2:$A$505,$A21,'Giocatori'!$D$2:$D$505,"&gt;=0.95")</f>
        <v>0</v>
      </c>
      <c r="H21" t="s" s="44">
        <v>897</v>
      </c>
      <c r="I21" t="s" s="44">
        <v>898</v>
      </c>
      <c r="J21" t="s" s="44">
        <v>863</v>
      </c>
    </row>
    <row r="22" ht="45.75" customHeight="1">
      <c r="A22" t="s" s="41">
        <v>753</v>
      </c>
      <c r="B22" t="s" s="42">
        <v>859</v>
      </c>
      <c r="C22" t="s" s="42">
        <v>899</v>
      </c>
      <c r="D22" s="43">
        <v>3</v>
      </c>
      <c r="E22" s="43">
        <v>3</v>
      </c>
      <c r="F22" s="33" cm="1">
        <f t="array" ref="F22">COUNTIF('Giocatori'!$A$2:$A$505,$A22)</f>
        <v>27</v>
      </c>
      <c r="G22" s="33" cm="1">
        <f t="array" ref="G22">_xlfn.COUNTIFS('Giocatori'!$A$2:$A$505,$A22,'Giocatori'!$D$2:$D$505,"&gt;=0.95")</f>
        <v>0</v>
      </c>
      <c r="H22" t="s" s="44">
        <v>900</v>
      </c>
      <c r="I22" t="s" s="44">
        <v>901</v>
      </c>
      <c r="J22" t="s" s="44">
        <v>863</v>
      </c>
    </row>
    <row r="23" ht="45.75" customHeight="1">
      <c r="A23" t="s" s="41">
        <v>786</v>
      </c>
      <c r="B23" t="s" s="42">
        <v>864</v>
      </c>
      <c r="C23" t="s" s="42">
        <v>902</v>
      </c>
      <c r="D23" s="43">
        <v>2.5</v>
      </c>
      <c r="E23" s="43">
        <v>2</v>
      </c>
      <c r="F23" s="33" cm="1">
        <f t="array" ref="F23">COUNTIF('Giocatori'!$A$2:$A$505,$A23)</f>
        <v>27</v>
      </c>
      <c r="G23" s="33" cm="1">
        <f t="array" ref="G23">_xlfn.COUNTIFS('Giocatori'!$A$2:$A$505,$A23,'Giocatori'!$D$2:$D$505,"&gt;=0.95")</f>
        <v>0</v>
      </c>
      <c r="H23" t="s" s="44">
        <v>903</v>
      </c>
      <c r="I23" t="s" s="44">
        <v>904</v>
      </c>
      <c r="J23" t="s" s="44">
        <v>868</v>
      </c>
    </row>
    <row r="24" ht="15.75" customHeight="1">
      <c r="A24" s="45"/>
      <c r="B24" s="45"/>
      <c r="C24" s="45"/>
      <c r="D24" s="45"/>
      <c r="E24" s="45"/>
      <c r="F24" s="45"/>
      <c r="G24" s="45"/>
      <c r="H24" s="45"/>
      <c r="I24" s="45"/>
      <c r="J24" s="45"/>
    </row>
    <row r="25" ht="15.75" customHeight="1">
      <c r="A25" s="39"/>
      <c r="B25" s="39"/>
      <c r="C25" s="39"/>
      <c r="D25" s="39"/>
      <c r="E25" s="39"/>
      <c r="F25" s="39"/>
      <c r="G25" s="39"/>
      <c r="H25" s="39"/>
      <c r="I25" s="39"/>
      <c r="J25" s="39"/>
    </row>
    <row r="26" ht="15.75" customHeight="1">
      <c r="A26" s="39"/>
      <c r="B26" s="39"/>
      <c r="C26" s="39"/>
      <c r="D26" s="39"/>
      <c r="E26" s="39"/>
      <c r="F26" s="39"/>
      <c r="G26" s="39"/>
      <c r="H26" s="39"/>
      <c r="I26" s="39"/>
      <c r="J26" s="39"/>
    </row>
    <row r="27" ht="15.75" customHeight="1">
      <c r="A27" s="39"/>
      <c r="B27" s="39"/>
      <c r="C27" s="39"/>
      <c r="D27" s="39"/>
      <c r="E27" s="39"/>
      <c r="F27" s="39"/>
      <c r="G27" s="39"/>
      <c r="H27" s="39"/>
      <c r="I27" s="39"/>
      <c r="J27" s="39"/>
    </row>
    <row r="28" ht="15.75" customHeight="1">
      <c r="A28" s="39"/>
      <c r="B28" s="39"/>
      <c r="C28" s="39"/>
      <c r="D28" s="39"/>
      <c r="E28" s="39"/>
      <c r="F28" s="39"/>
      <c r="G28" s="39"/>
      <c r="H28" s="39"/>
      <c r="I28" s="39"/>
      <c r="J28" s="39"/>
    </row>
    <row r="29" ht="15.75" customHeight="1">
      <c r="A29" s="39"/>
      <c r="B29" s="39"/>
      <c r="C29" s="39"/>
      <c r="D29" s="39"/>
      <c r="E29" s="39"/>
      <c r="F29" s="39"/>
      <c r="G29" s="39"/>
      <c r="H29" s="39"/>
      <c r="I29" s="39"/>
      <c r="J29" s="39"/>
    </row>
    <row r="30" ht="15.75" customHeight="1">
      <c r="A30" s="39"/>
      <c r="B30" s="39"/>
      <c r="C30" s="39"/>
      <c r="D30" s="39"/>
      <c r="E30" s="39"/>
      <c r="F30" s="39"/>
      <c r="G30" s="39"/>
      <c r="H30" s="39"/>
      <c r="I30" s="39"/>
      <c r="J30" s="39"/>
    </row>
    <row r="31" ht="15.75" customHeight="1">
      <c r="A31" s="39"/>
      <c r="B31" s="39"/>
      <c r="C31" s="39"/>
      <c r="D31" s="39"/>
      <c r="E31" s="39"/>
      <c r="F31" s="39"/>
      <c r="G31" s="39"/>
      <c r="H31" s="39"/>
      <c r="I31" s="39"/>
      <c r="J31" s="39"/>
    </row>
    <row r="32" ht="15.75" customHeight="1">
      <c r="A32" s="39"/>
      <c r="B32" s="39"/>
      <c r="C32" s="39"/>
      <c r="D32" s="39"/>
      <c r="E32" s="39"/>
      <c r="F32" s="39"/>
      <c r="G32" s="39"/>
      <c r="H32" s="39"/>
      <c r="I32" s="39"/>
      <c r="J32" s="39"/>
    </row>
    <row r="33" ht="15.75" customHeight="1">
      <c r="A33" s="39"/>
      <c r="B33" s="39"/>
      <c r="C33" s="39"/>
      <c r="D33" s="39"/>
      <c r="E33" s="39"/>
      <c r="F33" s="39"/>
      <c r="G33" s="39"/>
      <c r="H33" s="39"/>
      <c r="I33" s="39"/>
      <c r="J33" s="39"/>
    </row>
    <row r="34" ht="15.75" customHeight="1">
      <c r="A34" s="39"/>
      <c r="B34" s="39"/>
      <c r="C34" s="39"/>
      <c r="D34" s="39"/>
      <c r="E34" s="39"/>
      <c r="F34" s="39"/>
      <c r="G34" s="39"/>
      <c r="H34" s="39"/>
      <c r="I34" s="39"/>
      <c r="J34" s="39"/>
    </row>
    <row r="35" ht="15.75" customHeight="1">
      <c r="A35" s="39"/>
      <c r="B35" s="39"/>
      <c r="C35" s="39"/>
      <c r="D35" s="39"/>
      <c r="E35" s="39"/>
      <c r="F35" s="39"/>
      <c r="G35" s="39"/>
      <c r="H35" s="39"/>
      <c r="I35" s="39"/>
      <c r="J35" s="39"/>
    </row>
    <row r="36" ht="15.75" customHeight="1">
      <c r="A36" s="39"/>
      <c r="B36" s="39"/>
      <c r="C36" s="39"/>
      <c r="D36" s="39"/>
      <c r="E36" s="39"/>
      <c r="F36" s="39"/>
      <c r="G36" s="39"/>
      <c r="H36" s="39"/>
      <c r="I36" s="39"/>
      <c r="J36" s="39"/>
    </row>
    <row r="37" ht="15.75" customHeight="1">
      <c r="A37" s="39"/>
      <c r="B37" s="39"/>
      <c r="C37" s="39"/>
      <c r="D37" s="39"/>
      <c r="E37" s="39"/>
      <c r="F37" s="39"/>
      <c r="G37" s="39"/>
      <c r="H37" s="39"/>
      <c r="I37" s="39"/>
      <c r="J37" s="39"/>
    </row>
    <row r="38" ht="15.75" customHeight="1">
      <c r="A38" s="39"/>
      <c r="B38" s="39"/>
      <c r="C38" s="39"/>
      <c r="D38" s="39"/>
      <c r="E38" s="39"/>
      <c r="F38" s="39"/>
      <c r="G38" s="39"/>
      <c r="H38" s="39"/>
      <c r="I38" s="39"/>
      <c r="J38" s="39"/>
    </row>
    <row r="39" ht="15.75" customHeight="1">
      <c r="A39" s="39"/>
      <c r="B39" s="39"/>
      <c r="C39" s="39"/>
      <c r="D39" s="39"/>
      <c r="E39" s="39"/>
      <c r="F39" s="39"/>
      <c r="G39" s="39"/>
      <c r="H39" s="39"/>
      <c r="I39" s="39"/>
      <c r="J39" s="39"/>
    </row>
    <row r="40" ht="15.75" customHeight="1">
      <c r="A40" s="39"/>
      <c r="B40" s="39"/>
      <c r="C40" s="39"/>
      <c r="D40" s="39"/>
      <c r="E40" s="39"/>
      <c r="F40" s="39"/>
      <c r="G40" s="39"/>
      <c r="H40" s="39"/>
      <c r="I40" s="39"/>
      <c r="J40" s="39"/>
    </row>
    <row r="41" ht="15.75" customHeight="1">
      <c r="A41" s="39"/>
      <c r="B41" s="39"/>
      <c r="C41" s="39"/>
      <c r="D41" s="39"/>
      <c r="E41" s="39"/>
      <c r="F41" s="39"/>
      <c r="G41" s="39"/>
      <c r="H41" s="39"/>
      <c r="I41" s="39"/>
      <c r="J41" s="39"/>
    </row>
    <row r="42" ht="15.75" customHeight="1">
      <c r="A42" s="39"/>
      <c r="B42" s="39"/>
      <c r="C42" s="39"/>
      <c r="D42" s="39"/>
      <c r="E42" s="39"/>
      <c r="F42" s="39"/>
      <c r="G42" s="39"/>
      <c r="H42" s="39"/>
      <c r="I42" s="39"/>
      <c r="J42" s="39"/>
    </row>
    <row r="43" ht="15.75" customHeight="1">
      <c r="A43" s="39"/>
      <c r="B43" s="39"/>
      <c r="C43" s="39"/>
      <c r="D43" s="39"/>
      <c r="E43" s="39"/>
      <c r="F43" s="39"/>
      <c r="G43" s="39"/>
      <c r="H43" s="39"/>
      <c r="I43" s="39"/>
      <c r="J43" s="39"/>
    </row>
    <row r="44" ht="15.75" customHeight="1">
      <c r="A44" s="39"/>
      <c r="B44" s="39"/>
      <c r="C44" s="39"/>
      <c r="D44" s="39"/>
      <c r="E44" s="39"/>
      <c r="F44" s="39"/>
      <c r="G44" s="39"/>
      <c r="H44" s="39"/>
      <c r="I44" s="39"/>
      <c r="J44" s="39"/>
    </row>
    <row r="45" ht="15.75" customHeight="1">
      <c r="A45" s="39"/>
      <c r="B45" s="39"/>
      <c r="C45" s="39"/>
      <c r="D45" s="39"/>
      <c r="E45" s="39"/>
      <c r="F45" s="39"/>
      <c r="G45" s="39"/>
      <c r="H45" s="39"/>
      <c r="I45" s="39"/>
      <c r="J45" s="39"/>
    </row>
    <row r="46" ht="15.75" customHeight="1">
      <c r="A46" s="39"/>
      <c r="B46" s="39"/>
      <c r="C46" s="39"/>
      <c r="D46" s="39"/>
      <c r="E46" s="39"/>
      <c r="F46" s="39"/>
      <c r="G46" s="39"/>
      <c r="H46" s="39"/>
      <c r="I46" s="39"/>
      <c r="J46" s="39"/>
    </row>
    <row r="47" ht="15.75" customHeight="1">
      <c r="A47" s="39"/>
      <c r="B47" s="39"/>
      <c r="C47" s="39"/>
      <c r="D47" s="39"/>
      <c r="E47" s="39"/>
      <c r="F47" s="39"/>
      <c r="G47" s="39"/>
      <c r="H47" s="39"/>
      <c r="I47" s="39"/>
      <c r="J47" s="39"/>
    </row>
    <row r="48" ht="15.75" customHeight="1">
      <c r="A48" s="39"/>
      <c r="B48" s="39"/>
      <c r="C48" s="39"/>
      <c r="D48" s="39"/>
      <c r="E48" s="39"/>
      <c r="F48" s="39"/>
      <c r="G48" s="39"/>
      <c r="H48" s="39"/>
      <c r="I48" s="39"/>
      <c r="J48" s="39"/>
    </row>
    <row r="49" ht="15.75" customHeight="1">
      <c r="A49" s="39"/>
      <c r="B49" s="39"/>
      <c r="C49" s="39"/>
      <c r="D49" s="39"/>
      <c r="E49" s="39"/>
      <c r="F49" s="39"/>
      <c r="G49" s="39"/>
      <c r="H49" s="39"/>
      <c r="I49" s="39"/>
      <c r="J49" s="39"/>
    </row>
    <row r="50" ht="15.75" customHeight="1">
      <c r="A50" s="39"/>
      <c r="B50" s="39"/>
      <c r="C50" s="39"/>
      <c r="D50" s="39"/>
      <c r="E50" s="39"/>
      <c r="F50" s="39"/>
      <c r="G50" s="39"/>
      <c r="H50" s="39"/>
      <c r="I50" s="39"/>
      <c r="J50" s="39"/>
    </row>
    <row r="51" ht="15.75" customHeight="1">
      <c r="A51" s="39"/>
      <c r="B51" s="39"/>
      <c r="C51" s="39"/>
      <c r="D51" s="39"/>
      <c r="E51" s="39"/>
      <c r="F51" s="39"/>
      <c r="G51" s="39"/>
      <c r="H51" s="39"/>
      <c r="I51" s="39"/>
      <c r="J51" s="39"/>
    </row>
    <row r="52" ht="15.75" customHeight="1">
      <c r="A52" s="39"/>
      <c r="B52" s="39"/>
      <c r="C52" s="39"/>
      <c r="D52" s="39"/>
      <c r="E52" s="39"/>
      <c r="F52" s="39"/>
      <c r="G52" s="39"/>
      <c r="H52" s="39"/>
      <c r="I52" s="39"/>
      <c r="J52" s="39"/>
    </row>
    <row r="53" ht="15.75" customHeight="1">
      <c r="A53" s="39"/>
      <c r="B53" s="39"/>
      <c r="C53" s="39"/>
      <c r="D53" s="39"/>
      <c r="E53" s="39"/>
      <c r="F53" s="39"/>
      <c r="G53" s="39"/>
      <c r="H53" s="39"/>
      <c r="I53" s="39"/>
      <c r="J53" s="39"/>
    </row>
    <row r="54" ht="15.75" customHeight="1">
      <c r="A54" s="39"/>
      <c r="B54" s="39"/>
      <c r="C54" s="39"/>
      <c r="D54" s="39"/>
      <c r="E54" s="39"/>
      <c r="F54" s="39"/>
      <c r="G54" s="39"/>
      <c r="H54" s="39"/>
      <c r="I54" s="39"/>
      <c r="J54" s="39"/>
    </row>
    <row r="55" ht="15.75" customHeight="1">
      <c r="A55" s="39"/>
      <c r="B55" s="39"/>
      <c r="C55" s="39"/>
      <c r="D55" s="39"/>
      <c r="E55" s="39"/>
      <c r="F55" s="39"/>
      <c r="G55" s="39"/>
      <c r="H55" s="39"/>
      <c r="I55" s="39"/>
      <c r="J55" s="39"/>
    </row>
    <row r="56" ht="15.75" customHeight="1">
      <c r="A56" s="39"/>
      <c r="B56" s="39"/>
      <c r="C56" s="39"/>
      <c r="D56" s="39"/>
      <c r="E56" s="39"/>
      <c r="F56" s="39"/>
      <c r="G56" s="39"/>
      <c r="H56" s="39"/>
      <c r="I56" s="39"/>
      <c r="J56" s="39"/>
    </row>
    <row r="57" ht="15.75" customHeight="1">
      <c r="A57" s="39"/>
      <c r="B57" s="39"/>
      <c r="C57" s="39"/>
      <c r="D57" s="39"/>
      <c r="E57" s="39"/>
      <c r="F57" s="39"/>
      <c r="G57" s="39"/>
      <c r="H57" s="39"/>
      <c r="I57" s="39"/>
      <c r="J57" s="39"/>
    </row>
    <row r="58" ht="15.75" customHeight="1">
      <c r="A58" s="39"/>
      <c r="B58" s="39"/>
      <c r="C58" s="39"/>
      <c r="D58" s="39"/>
      <c r="E58" s="39"/>
      <c r="F58" s="39"/>
      <c r="G58" s="39"/>
      <c r="H58" s="39"/>
      <c r="I58" s="39"/>
      <c r="J58" s="39"/>
    </row>
    <row r="59" ht="15.75" customHeight="1">
      <c r="A59" s="39"/>
      <c r="B59" s="39"/>
      <c r="C59" s="39"/>
      <c r="D59" s="39"/>
      <c r="E59" s="39"/>
      <c r="F59" s="39"/>
      <c r="G59" s="39"/>
      <c r="H59" s="39"/>
      <c r="I59" s="39"/>
      <c r="J59" s="39"/>
    </row>
    <row r="60" ht="15.75" customHeight="1">
      <c r="A60" s="39"/>
      <c r="B60" s="39"/>
      <c r="C60" s="39"/>
      <c r="D60" s="39"/>
      <c r="E60" s="39"/>
      <c r="F60" s="39"/>
      <c r="G60" s="39"/>
      <c r="H60" s="39"/>
      <c r="I60" s="39"/>
      <c r="J60" s="39"/>
    </row>
    <row r="61" ht="15.75" customHeight="1">
      <c r="A61" s="39"/>
      <c r="B61" s="39"/>
      <c r="C61" s="39"/>
      <c r="D61" s="39"/>
      <c r="E61" s="39"/>
      <c r="F61" s="39"/>
      <c r="G61" s="39"/>
      <c r="H61" s="39"/>
      <c r="I61" s="39"/>
      <c r="J61" s="39"/>
    </row>
    <row r="62" ht="15.75" customHeight="1">
      <c r="A62" s="39"/>
      <c r="B62" s="39"/>
      <c r="C62" s="39"/>
      <c r="D62" s="39"/>
      <c r="E62" s="39"/>
      <c r="F62" s="39"/>
      <c r="G62" s="39"/>
      <c r="H62" s="39"/>
      <c r="I62" s="39"/>
      <c r="J62" s="39"/>
    </row>
    <row r="63" ht="15.75" customHeight="1">
      <c r="A63" s="39"/>
      <c r="B63" s="39"/>
      <c r="C63" s="39"/>
      <c r="D63" s="39"/>
      <c r="E63" s="39"/>
      <c r="F63" s="39"/>
      <c r="G63" s="39"/>
      <c r="H63" s="39"/>
      <c r="I63" s="39"/>
      <c r="J63" s="39"/>
    </row>
    <row r="64" ht="15.75" customHeight="1">
      <c r="A64" s="39"/>
      <c r="B64" s="39"/>
      <c r="C64" s="39"/>
      <c r="D64" s="39"/>
      <c r="E64" s="39"/>
      <c r="F64" s="39"/>
      <c r="G64" s="39"/>
      <c r="H64" s="39"/>
      <c r="I64" s="39"/>
      <c r="J64" s="39"/>
    </row>
    <row r="65" ht="15.75" customHeight="1">
      <c r="A65" s="39"/>
      <c r="B65" s="39"/>
      <c r="C65" s="39"/>
      <c r="D65" s="39"/>
      <c r="E65" s="39"/>
      <c r="F65" s="39"/>
      <c r="G65" s="39"/>
      <c r="H65" s="39"/>
      <c r="I65" s="39"/>
      <c r="J65" s="39"/>
    </row>
    <row r="66" ht="15.75" customHeight="1">
      <c r="A66" s="39"/>
      <c r="B66" s="39"/>
      <c r="C66" s="39"/>
      <c r="D66" s="39"/>
      <c r="E66" s="39"/>
      <c r="F66" s="39"/>
      <c r="G66" s="39"/>
      <c r="H66" s="39"/>
      <c r="I66" s="39"/>
      <c r="J66" s="39"/>
    </row>
    <row r="67" ht="15.75" customHeight="1">
      <c r="A67" s="39"/>
      <c r="B67" s="39"/>
      <c r="C67" s="39"/>
      <c r="D67" s="39"/>
      <c r="E67" s="39"/>
      <c r="F67" s="39"/>
      <c r="G67" s="39"/>
      <c r="H67" s="39"/>
      <c r="I67" s="39"/>
      <c r="J67" s="39"/>
    </row>
    <row r="68" ht="15.75" customHeight="1">
      <c r="A68" s="39"/>
      <c r="B68" s="39"/>
      <c r="C68" s="39"/>
      <c r="D68" s="39"/>
      <c r="E68" s="39"/>
      <c r="F68" s="39"/>
      <c r="G68" s="39"/>
      <c r="H68" s="39"/>
      <c r="I68" s="39"/>
      <c r="J68" s="39"/>
    </row>
    <row r="69" ht="15.75" customHeight="1">
      <c r="A69" s="39"/>
      <c r="B69" s="39"/>
      <c r="C69" s="39"/>
      <c r="D69" s="39"/>
      <c r="E69" s="39"/>
      <c r="F69" s="39"/>
      <c r="G69" s="39"/>
      <c r="H69" s="39"/>
      <c r="I69" s="39"/>
      <c r="J69" s="39"/>
    </row>
    <row r="70" ht="15.75" customHeight="1">
      <c r="A70" s="39"/>
      <c r="B70" s="39"/>
      <c r="C70" s="39"/>
      <c r="D70" s="39"/>
      <c r="E70" s="39"/>
      <c r="F70" s="39"/>
      <c r="G70" s="39"/>
      <c r="H70" s="39"/>
      <c r="I70" s="39"/>
      <c r="J70" s="39"/>
    </row>
    <row r="71" ht="15.75" customHeight="1">
      <c r="A71" s="39"/>
      <c r="B71" s="39"/>
      <c r="C71" s="39"/>
      <c r="D71" s="39"/>
      <c r="E71" s="39"/>
      <c r="F71" s="39"/>
      <c r="G71" s="39"/>
      <c r="H71" s="39"/>
      <c r="I71" s="39"/>
      <c r="J71" s="39"/>
    </row>
    <row r="72" ht="15.75" customHeight="1">
      <c r="A72" s="39"/>
      <c r="B72" s="39"/>
      <c r="C72" s="39"/>
      <c r="D72" s="39"/>
      <c r="E72" s="39"/>
      <c r="F72" s="39"/>
      <c r="G72" s="39"/>
      <c r="H72" s="39"/>
      <c r="I72" s="39"/>
      <c r="J72" s="39"/>
    </row>
    <row r="73" ht="15.75" customHeight="1">
      <c r="A73" s="39"/>
      <c r="B73" s="39"/>
      <c r="C73" s="39"/>
      <c r="D73" s="39"/>
      <c r="E73" s="39"/>
      <c r="F73" s="39"/>
      <c r="G73" s="39"/>
      <c r="H73" s="39"/>
      <c r="I73" s="39"/>
      <c r="J73" s="39"/>
    </row>
    <row r="74" ht="15.75" customHeight="1">
      <c r="A74" s="39"/>
      <c r="B74" s="39"/>
      <c r="C74" s="39"/>
      <c r="D74" s="39"/>
      <c r="E74" s="39"/>
      <c r="F74" s="39"/>
      <c r="G74" s="39"/>
      <c r="H74" s="39"/>
      <c r="I74" s="39"/>
      <c r="J74" s="39"/>
    </row>
    <row r="75" ht="15.75" customHeight="1">
      <c r="A75" s="39"/>
      <c r="B75" s="39"/>
      <c r="C75" s="39"/>
      <c r="D75" s="39"/>
      <c r="E75" s="39"/>
      <c r="F75" s="39"/>
      <c r="G75" s="39"/>
      <c r="H75" s="39"/>
      <c r="I75" s="39"/>
      <c r="J75" s="39"/>
    </row>
    <row r="76" ht="15.75" customHeight="1">
      <c r="A76" s="39"/>
      <c r="B76" s="39"/>
      <c r="C76" s="39"/>
      <c r="D76" s="39"/>
      <c r="E76" s="39"/>
      <c r="F76" s="39"/>
      <c r="G76" s="39"/>
      <c r="H76" s="39"/>
      <c r="I76" s="39"/>
      <c r="J76" s="39"/>
    </row>
    <row r="77" ht="15.75" customHeight="1">
      <c r="A77" s="39"/>
      <c r="B77" s="39"/>
      <c r="C77" s="39"/>
      <c r="D77" s="39"/>
      <c r="E77" s="39"/>
      <c r="F77" s="39"/>
      <c r="G77" s="39"/>
      <c r="H77" s="39"/>
      <c r="I77" s="39"/>
      <c r="J77" s="39"/>
    </row>
    <row r="78" ht="15.75" customHeight="1">
      <c r="A78" s="39"/>
      <c r="B78" s="39"/>
      <c r="C78" s="39"/>
      <c r="D78" s="39"/>
      <c r="E78" s="39"/>
      <c r="F78" s="39"/>
      <c r="G78" s="39"/>
      <c r="H78" s="39"/>
      <c r="I78" s="39"/>
      <c r="J78" s="39"/>
    </row>
    <row r="79" ht="15.75" customHeight="1">
      <c r="A79" s="39"/>
      <c r="B79" s="39"/>
      <c r="C79" s="39"/>
      <c r="D79" s="39"/>
      <c r="E79" s="39"/>
      <c r="F79" s="39"/>
      <c r="G79" s="39"/>
      <c r="H79" s="39"/>
      <c r="I79" s="39"/>
      <c r="J79" s="39"/>
    </row>
    <row r="80" ht="15.75" customHeight="1">
      <c r="A80" s="39"/>
      <c r="B80" s="39"/>
      <c r="C80" s="39"/>
      <c r="D80" s="39"/>
      <c r="E80" s="39"/>
      <c r="F80" s="39"/>
      <c r="G80" s="39"/>
      <c r="H80" s="39"/>
      <c r="I80" s="39"/>
      <c r="J80" s="39"/>
    </row>
    <row r="81" ht="15.75" customHeight="1">
      <c r="A81" s="39"/>
      <c r="B81" s="39"/>
      <c r="C81" s="39"/>
      <c r="D81" s="39"/>
      <c r="E81" s="39"/>
      <c r="F81" s="39"/>
      <c r="G81" s="39"/>
      <c r="H81" s="39"/>
      <c r="I81" s="39"/>
      <c r="J81" s="39"/>
    </row>
    <row r="82" ht="15.75" customHeight="1">
      <c r="A82" s="39"/>
      <c r="B82" s="39"/>
      <c r="C82" s="39"/>
      <c r="D82" s="39"/>
      <c r="E82" s="39"/>
      <c r="F82" s="39"/>
      <c r="G82" s="39"/>
      <c r="H82" s="39"/>
      <c r="I82" s="39"/>
      <c r="J82" s="39"/>
    </row>
    <row r="83" ht="15.75" customHeight="1">
      <c r="A83" s="39"/>
      <c r="B83" s="39"/>
      <c r="C83" s="39"/>
      <c r="D83" s="39"/>
      <c r="E83" s="39"/>
      <c r="F83" s="39"/>
      <c r="G83" s="39"/>
      <c r="H83" s="39"/>
      <c r="I83" s="39"/>
      <c r="J83" s="39"/>
    </row>
    <row r="84" ht="15.75" customHeight="1">
      <c r="A84" s="39"/>
      <c r="B84" s="39"/>
      <c r="C84" s="39"/>
      <c r="D84" s="39"/>
      <c r="E84" s="39"/>
      <c r="F84" s="39"/>
      <c r="G84" s="39"/>
      <c r="H84" s="39"/>
      <c r="I84" s="39"/>
      <c r="J84" s="39"/>
    </row>
    <row r="85" ht="15.75" customHeight="1">
      <c r="A85" s="39"/>
      <c r="B85" s="39"/>
      <c r="C85" s="39"/>
      <c r="D85" s="39"/>
      <c r="E85" s="39"/>
      <c r="F85" s="39"/>
      <c r="G85" s="39"/>
      <c r="H85" s="39"/>
      <c r="I85" s="39"/>
      <c r="J85" s="39"/>
    </row>
    <row r="86" ht="15.75" customHeight="1">
      <c r="A86" s="39"/>
      <c r="B86" s="39"/>
      <c r="C86" s="39"/>
      <c r="D86" s="39"/>
      <c r="E86" s="39"/>
      <c r="F86" s="39"/>
      <c r="G86" s="39"/>
      <c r="H86" s="39"/>
      <c r="I86" s="39"/>
      <c r="J86" s="39"/>
    </row>
    <row r="87" ht="15.75" customHeight="1">
      <c r="A87" s="39"/>
      <c r="B87" s="39"/>
      <c r="C87" s="39"/>
      <c r="D87" s="39"/>
      <c r="E87" s="39"/>
      <c r="F87" s="39"/>
      <c r="G87" s="39"/>
      <c r="H87" s="39"/>
      <c r="I87" s="39"/>
      <c r="J87" s="39"/>
    </row>
    <row r="88" ht="15.75" customHeight="1">
      <c r="A88" s="39"/>
      <c r="B88" s="39"/>
      <c r="C88" s="39"/>
      <c r="D88" s="39"/>
      <c r="E88" s="39"/>
      <c r="F88" s="39"/>
      <c r="G88" s="39"/>
      <c r="H88" s="39"/>
      <c r="I88" s="39"/>
      <c r="J88" s="39"/>
    </row>
    <row r="89" ht="15.75" customHeight="1">
      <c r="A89" s="39"/>
      <c r="B89" s="39"/>
      <c r="C89" s="39"/>
      <c r="D89" s="39"/>
      <c r="E89" s="39"/>
      <c r="F89" s="39"/>
      <c r="G89" s="39"/>
      <c r="H89" s="39"/>
      <c r="I89" s="39"/>
      <c r="J89" s="39"/>
    </row>
    <row r="90" ht="15.75" customHeight="1">
      <c r="A90" s="39"/>
      <c r="B90" s="39"/>
      <c r="C90" s="39"/>
      <c r="D90" s="39"/>
      <c r="E90" s="39"/>
      <c r="F90" s="39"/>
      <c r="G90" s="39"/>
      <c r="H90" s="39"/>
      <c r="I90" s="39"/>
      <c r="J90" s="39"/>
    </row>
    <row r="91" ht="15.75" customHeight="1">
      <c r="A91" s="39"/>
      <c r="B91" s="39"/>
      <c r="C91" s="39"/>
      <c r="D91" s="39"/>
      <c r="E91" s="39"/>
      <c r="F91" s="39"/>
      <c r="G91" s="39"/>
      <c r="H91" s="39"/>
      <c r="I91" s="39"/>
      <c r="J91" s="39"/>
    </row>
    <row r="92" ht="15.75" customHeight="1">
      <c r="A92" s="39"/>
      <c r="B92" s="39"/>
      <c r="C92" s="39"/>
      <c r="D92" s="39"/>
      <c r="E92" s="39"/>
      <c r="F92" s="39"/>
      <c r="G92" s="39"/>
      <c r="H92" s="39"/>
      <c r="I92" s="39"/>
      <c r="J92" s="39"/>
    </row>
    <row r="93" ht="15.75" customHeight="1">
      <c r="A93" s="39"/>
      <c r="B93" s="39"/>
      <c r="C93" s="39"/>
      <c r="D93" s="39"/>
      <c r="E93" s="39"/>
      <c r="F93" s="39"/>
      <c r="G93" s="39"/>
      <c r="H93" s="39"/>
      <c r="I93" s="39"/>
      <c r="J93" s="39"/>
    </row>
    <row r="94" ht="15.75" customHeight="1">
      <c r="A94" s="39"/>
      <c r="B94" s="39"/>
      <c r="C94" s="39"/>
      <c r="D94" s="39"/>
      <c r="E94" s="39"/>
      <c r="F94" s="39"/>
      <c r="G94" s="39"/>
      <c r="H94" s="39"/>
      <c r="I94" s="39"/>
      <c r="J94" s="39"/>
    </row>
    <row r="95" ht="15.75" customHeight="1">
      <c r="A95" s="39"/>
      <c r="B95" s="39"/>
      <c r="C95" s="39"/>
      <c r="D95" s="39"/>
      <c r="E95" s="39"/>
      <c r="F95" s="39"/>
      <c r="G95" s="39"/>
      <c r="H95" s="39"/>
      <c r="I95" s="39"/>
      <c r="J95" s="39"/>
    </row>
    <row r="96" ht="15.75" customHeight="1">
      <c r="A96" s="39"/>
      <c r="B96" s="39"/>
      <c r="C96" s="39"/>
      <c r="D96" s="39"/>
      <c r="E96" s="39"/>
      <c r="F96" s="39"/>
      <c r="G96" s="39"/>
      <c r="H96" s="39"/>
      <c r="I96" s="39"/>
      <c r="J96" s="39"/>
    </row>
    <row r="97" ht="15.75" customHeight="1">
      <c r="A97" s="39"/>
      <c r="B97" s="39"/>
      <c r="C97" s="39"/>
      <c r="D97" s="39"/>
      <c r="E97" s="39"/>
      <c r="F97" s="39"/>
      <c r="G97" s="39"/>
      <c r="H97" s="39"/>
      <c r="I97" s="39"/>
      <c r="J97" s="39"/>
    </row>
    <row r="98" ht="15.75" customHeight="1">
      <c r="A98" s="39"/>
      <c r="B98" s="39"/>
      <c r="C98" s="39"/>
      <c r="D98" s="39"/>
      <c r="E98" s="39"/>
      <c r="F98" s="39"/>
      <c r="G98" s="39"/>
      <c r="H98" s="39"/>
      <c r="I98" s="39"/>
      <c r="J98" s="39"/>
    </row>
    <row r="99" ht="15.75" customHeight="1">
      <c r="A99" s="39"/>
      <c r="B99" s="39"/>
      <c r="C99" s="39"/>
      <c r="D99" s="39"/>
      <c r="E99" s="39"/>
      <c r="F99" s="39"/>
      <c r="G99" s="39"/>
      <c r="H99" s="39"/>
      <c r="I99" s="39"/>
      <c r="J99" s="39"/>
    </row>
    <row r="100" ht="15.75" customHeight="1">
      <c r="A100" s="39"/>
      <c r="B100" s="39"/>
      <c r="C100" s="39"/>
      <c r="D100" s="39"/>
      <c r="E100" s="39"/>
      <c r="F100" s="39"/>
      <c r="G100" s="39"/>
      <c r="H100" s="39"/>
      <c r="I100" s="39"/>
      <c r="J100" s="39"/>
    </row>
  </sheetData>
  <pageMargins left="0.75" right="0.75" top="1" bottom="1" header="0" footer="0"/>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G71"/>
  <sheetViews>
    <sheetView workbookViewId="0" showGridLines="0" defaultGridColor="1"/>
  </sheetViews>
  <sheetFormatPr defaultColWidth="14.5" defaultRowHeight="15" customHeight="1" outlineLevelRow="0" outlineLevelCol="0"/>
  <cols>
    <col min="1" max="1" width="15" style="46" customWidth="1"/>
    <col min="2" max="2" width="10" style="46" customWidth="1"/>
    <col min="3" max="3" width="22" style="46" customWidth="1"/>
    <col min="4" max="4" width="9" style="46" customWidth="1"/>
    <col min="5" max="6" width="22" style="46" customWidth="1"/>
    <col min="7" max="7" width="10" style="46" customWidth="1"/>
    <col min="8" max="16384" width="14.5" style="46" customWidth="1"/>
  </cols>
  <sheetData>
    <row r="1" ht="30" customHeight="1">
      <c r="A1" t="s" s="24">
        <v>50</v>
      </c>
      <c r="B1" t="s" s="24">
        <v>905</v>
      </c>
      <c r="C1" t="s" s="24">
        <v>906</v>
      </c>
      <c r="D1" t="s" s="24">
        <v>907</v>
      </c>
      <c r="E1" t="s" s="24">
        <v>908</v>
      </c>
      <c r="F1" t="s" s="24">
        <v>909</v>
      </c>
      <c r="G1" t="s" s="24">
        <v>910</v>
      </c>
    </row>
    <row r="2" ht="13.65" customHeight="1">
      <c r="A2" t="s" s="47">
        <v>61</v>
      </c>
      <c r="B2" t="s" s="47">
        <v>911</v>
      </c>
      <c r="C2" t="s" s="47">
        <v>106</v>
      </c>
      <c r="D2" s="48">
        <v>0.51</v>
      </c>
      <c r="E2" t="s" s="47">
        <v>104</v>
      </c>
      <c r="F2" s="49"/>
      <c r="G2" s="48">
        <v>0.49</v>
      </c>
    </row>
    <row r="3" ht="13.65" customHeight="1">
      <c r="A3" t="s" s="47">
        <v>61</v>
      </c>
      <c r="B3" t="s" s="47">
        <v>912</v>
      </c>
      <c r="C3" t="s" s="47">
        <v>91</v>
      </c>
      <c r="D3" s="48">
        <v>0.51</v>
      </c>
      <c r="E3" t="s" s="47">
        <v>88</v>
      </c>
      <c r="F3" s="49"/>
      <c r="G3" s="48">
        <v>0.49</v>
      </c>
    </row>
    <row r="4" ht="13.65" customHeight="1">
      <c r="A4" t="s" s="47">
        <v>61</v>
      </c>
      <c r="B4" t="s" s="47">
        <v>913</v>
      </c>
      <c r="C4" t="s" s="47">
        <v>75</v>
      </c>
      <c r="D4" s="48">
        <v>0.55</v>
      </c>
      <c r="E4" t="s" s="47">
        <v>79</v>
      </c>
      <c r="F4" s="49"/>
      <c r="G4" s="48">
        <v>0.45</v>
      </c>
    </row>
    <row r="5" ht="13.65" customHeight="1">
      <c r="A5" t="s" s="47">
        <v>61</v>
      </c>
      <c r="B5" t="s" s="47">
        <v>913</v>
      </c>
      <c r="C5" t="s" s="47">
        <v>73</v>
      </c>
      <c r="D5" s="48">
        <v>0.55</v>
      </c>
      <c r="E5" t="s" s="47">
        <v>82</v>
      </c>
      <c r="F5" s="49"/>
      <c r="G5" s="48">
        <v>0.45</v>
      </c>
    </row>
    <row r="6" ht="13.65" customHeight="1">
      <c r="A6" t="s" s="47">
        <v>61</v>
      </c>
      <c r="B6" t="s" s="47">
        <v>912</v>
      </c>
      <c r="C6" t="s" s="47">
        <v>95</v>
      </c>
      <c r="D6" s="48">
        <v>0.51</v>
      </c>
      <c r="E6" t="s" s="47">
        <v>93</v>
      </c>
      <c r="F6" s="49"/>
      <c r="G6" s="48">
        <v>0.49</v>
      </c>
    </row>
    <row r="7" ht="13.65" customHeight="1">
      <c r="A7" t="s" s="47">
        <v>61</v>
      </c>
      <c r="B7" t="s" s="47">
        <v>913</v>
      </c>
      <c r="C7" t="s" s="47">
        <v>68</v>
      </c>
      <c r="D7" s="48">
        <v>0.51</v>
      </c>
      <c r="E7" t="s" s="47">
        <v>77</v>
      </c>
      <c r="F7" s="49"/>
      <c r="G7" s="48">
        <v>0.49</v>
      </c>
    </row>
    <row r="8" ht="13.65" customHeight="1">
      <c r="A8" t="s" s="47">
        <v>109</v>
      </c>
      <c r="B8" t="s" s="47">
        <v>913</v>
      </c>
      <c r="C8" t="s" s="47">
        <v>116</v>
      </c>
      <c r="D8" s="48">
        <v>0.51</v>
      </c>
      <c r="E8" t="s" s="47">
        <v>119</v>
      </c>
      <c r="F8" s="49"/>
      <c r="G8" s="48">
        <v>0.49</v>
      </c>
    </row>
    <row r="9" ht="13.65" customHeight="1">
      <c r="A9" t="s" s="47">
        <v>109</v>
      </c>
      <c r="B9" t="s" s="47">
        <v>912</v>
      </c>
      <c r="C9" t="s" s="47">
        <v>130</v>
      </c>
      <c r="D9" s="48">
        <v>0.6</v>
      </c>
      <c r="E9" t="s" s="47">
        <v>137</v>
      </c>
      <c r="F9" s="49"/>
      <c r="G9" s="48">
        <v>0.4</v>
      </c>
    </row>
    <row r="10" ht="13.65" customHeight="1">
      <c r="A10" t="s" s="47">
        <v>109</v>
      </c>
      <c r="B10" t="s" s="47">
        <v>912</v>
      </c>
      <c r="C10" t="s" s="47">
        <v>126</v>
      </c>
      <c r="D10" s="48">
        <v>0.55</v>
      </c>
      <c r="E10" t="s" s="47">
        <v>135</v>
      </c>
      <c r="F10" s="49"/>
      <c r="G10" s="48">
        <v>0.45</v>
      </c>
    </row>
    <row r="11" ht="13.65" customHeight="1">
      <c r="A11" t="s" s="47">
        <v>109</v>
      </c>
      <c r="B11" t="s" s="47">
        <v>911</v>
      </c>
      <c r="C11" t="s" s="47">
        <v>141</v>
      </c>
      <c r="D11" s="48">
        <v>0.55</v>
      </c>
      <c r="E11" t="s" s="47">
        <v>143</v>
      </c>
      <c r="F11" s="49"/>
      <c r="G11" s="48">
        <v>0.45</v>
      </c>
    </row>
    <row r="12" ht="13.65" customHeight="1">
      <c r="A12" t="s" s="47">
        <v>145</v>
      </c>
      <c r="B12" t="s" s="47">
        <v>914</v>
      </c>
      <c r="C12" t="s" s="47">
        <v>149</v>
      </c>
      <c r="D12" s="48">
        <v>0.51</v>
      </c>
      <c r="E12" t="s" s="47">
        <v>168</v>
      </c>
      <c r="F12" s="49"/>
      <c r="G12" s="48">
        <v>0.49</v>
      </c>
    </row>
    <row r="13" ht="13.65" customHeight="1">
      <c r="A13" t="s" s="47">
        <v>145</v>
      </c>
      <c r="B13" t="s" s="47">
        <v>913</v>
      </c>
      <c r="C13" t="s" s="47">
        <v>154</v>
      </c>
      <c r="D13" s="48">
        <v>0.55</v>
      </c>
      <c r="E13" t="s" s="47">
        <v>156</v>
      </c>
      <c r="F13" s="49"/>
      <c r="G13" s="48">
        <v>0.45</v>
      </c>
    </row>
    <row r="14" ht="13.65" customHeight="1">
      <c r="A14" t="s" s="47">
        <v>145</v>
      </c>
      <c r="B14" t="s" s="47">
        <v>915</v>
      </c>
      <c r="C14" t="s" s="47">
        <v>173</v>
      </c>
      <c r="D14" s="48">
        <v>0.34</v>
      </c>
      <c r="E14" t="s" s="47">
        <v>178</v>
      </c>
      <c r="F14" t="s" s="47">
        <v>176</v>
      </c>
      <c r="G14" s="48">
        <v>0.33</v>
      </c>
    </row>
    <row r="15" ht="13.65" customHeight="1">
      <c r="A15" t="s" s="47">
        <v>185</v>
      </c>
      <c r="B15" t="s" s="47">
        <v>912</v>
      </c>
      <c r="C15" t="s" s="47">
        <v>210</v>
      </c>
      <c r="D15" s="48">
        <v>0.6</v>
      </c>
      <c r="E15" t="s" s="47">
        <v>215</v>
      </c>
      <c r="F15" s="49"/>
      <c r="G15" s="48">
        <v>0.4</v>
      </c>
    </row>
    <row r="16" ht="13.65" customHeight="1">
      <c r="A16" t="s" s="47">
        <v>185</v>
      </c>
      <c r="B16" t="s" s="47">
        <v>916</v>
      </c>
      <c r="C16" t="s" s="47">
        <v>224</v>
      </c>
      <c r="D16" s="48">
        <v>0.6</v>
      </c>
      <c r="E16" t="s" s="47">
        <v>217</v>
      </c>
      <c r="F16" s="49"/>
      <c r="G16" s="48">
        <v>0.4</v>
      </c>
    </row>
    <row r="17" ht="13.65" customHeight="1">
      <c r="A17" t="s" s="47">
        <v>185</v>
      </c>
      <c r="B17" t="s" s="47">
        <v>913</v>
      </c>
      <c r="C17" t="s" s="47">
        <v>190</v>
      </c>
      <c r="D17" s="48">
        <v>0.51</v>
      </c>
      <c r="E17" t="s" s="47">
        <v>198</v>
      </c>
      <c r="F17" s="49"/>
      <c r="G17" s="48">
        <v>0.49</v>
      </c>
    </row>
    <row r="18" ht="13.65" customHeight="1">
      <c r="A18" t="s" s="47">
        <v>185</v>
      </c>
      <c r="B18" t="s" s="47">
        <v>913</v>
      </c>
      <c r="C18" t="s" s="47">
        <v>200</v>
      </c>
      <c r="D18" s="48">
        <v>0.51</v>
      </c>
      <c r="E18" t="s" s="47">
        <v>194</v>
      </c>
      <c r="F18" s="49"/>
      <c r="G18" s="48">
        <v>0.49</v>
      </c>
    </row>
    <row r="19" ht="13.65" customHeight="1">
      <c r="A19" t="s" s="47">
        <v>185</v>
      </c>
      <c r="B19" t="s" s="47">
        <v>913</v>
      </c>
      <c r="C19" t="s" s="47">
        <v>192</v>
      </c>
      <c r="D19" s="48">
        <v>0.55</v>
      </c>
      <c r="E19" t="s" s="47">
        <v>196</v>
      </c>
      <c r="F19" s="49"/>
      <c r="G19" s="48">
        <v>0.45</v>
      </c>
    </row>
    <row r="20" ht="13.65" customHeight="1">
      <c r="A20" t="s" s="47">
        <v>231</v>
      </c>
      <c r="B20" t="s" s="47">
        <v>913</v>
      </c>
      <c r="C20" t="s" s="47">
        <v>236</v>
      </c>
      <c r="D20" s="48">
        <v>0.51</v>
      </c>
      <c r="E20" t="s" s="47">
        <v>243</v>
      </c>
      <c r="F20" s="49"/>
      <c r="G20" s="48">
        <v>0.49</v>
      </c>
    </row>
    <row r="21" ht="15.75" customHeight="1">
      <c r="A21" t="s" s="47">
        <v>231</v>
      </c>
      <c r="B21" t="s" s="47">
        <v>913</v>
      </c>
      <c r="C21" t="s" s="47">
        <v>240</v>
      </c>
      <c r="D21" s="48">
        <v>0.51</v>
      </c>
      <c r="E21" t="s" s="47">
        <v>246</v>
      </c>
      <c r="F21" s="49"/>
      <c r="G21" s="48">
        <v>0.49</v>
      </c>
    </row>
    <row r="22" ht="15.75" customHeight="1">
      <c r="A22" t="s" s="47">
        <v>231</v>
      </c>
      <c r="B22" t="s" s="47">
        <v>912</v>
      </c>
      <c r="C22" t="s" s="47">
        <v>257</v>
      </c>
      <c r="D22" s="48">
        <v>0.51</v>
      </c>
      <c r="E22" t="s" s="47">
        <v>254</v>
      </c>
      <c r="F22" s="49"/>
      <c r="G22" s="48">
        <v>0.49</v>
      </c>
    </row>
    <row r="23" ht="15.75" customHeight="1">
      <c r="A23" t="s" s="47">
        <v>231</v>
      </c>
      <c r="B23" t="s" s="47">
        <v>911</v>
      </c>
      <c r="C23" t="s" s="47">
        <v>265</v>
      </c>
      <c r="D23" s="48">
        <v>0.6</v>
      </c>
      <c r="E23" t="s" s="47">
        <v>267</v>
      </c>
      <c r="F23" s="49"/>
      <c r="G23" s="48">
        <v>0.4</v>
      </c>
    </row>
    <row r="24" ht="15.75" customHeight="1">
      <c r="A24" t="s" s="47">
        <v>269</v>
      </c>
      <c r="B24" t="s" s="47">
        <v>917</v>
      </c>
      <c r="C24" t="s" s="47">
        <v>272</v>
      </c>
      <c r="D24" s="48">
        <v>0.51</v>
      </c>
      <c r="E24" t="s" s="47">
        <v>270</v>
      </c>
      <c r="F24" s="49"/>
      <c r="G24" s="48">
        <v>0.49</v>
      </c>
    </row>
    <row r="25" ht="15.75" customHeight="1">
      <c r="A25" t="s" s="47">
        <v>269</v>
      </c>
      <c r="B25" t="s" s="47">
        <v>916</v>
      </c>
      <c r="C25" t="s" s="47">
        <v>313</v>
      </c>
      <c r="D25" s="48">
        <v>0.51</v>
      </c>
      <c r="E25" t="s" s="47">
        <v>297</v>
      </c>
      <c r="F25" s="49"/>
      <c r="G25" s="48">
        <v>0.49</v>
      </c>
    </row>
    <row r="26" ht="15.75" customHeight="1">
      <c r="A26" t="s" s="47">
        <v>269</v>
      </c>
      <c r="B26" t="s" s="47">
        <v>913</v>
      </c>
      <c r="C26" t="s" s="47">
        <v>281</v>
      </c>
      <c r="D26" s="48">
        <v>0.51</v>
      </c>
      <c r="E26" t="s" s="47">
        <v>279</v>
      </c>
      <c r="F26" s="49"/>
      <c r="G26" s="48">
        <v>0.49</v>
      </c>
    </row>
    <row r="27" ht="15.75" customHeight="1">
      <c r="A27" t="s" s="47">
        <v>269</v>
      </c>
      <c r="B27" t="s" s="47">
        <v>912</v>
      </c>
      <c r="C27" t="s" s="47">
        <v>304</v>
      </c>
      <c r="D27" s="48"/>
      <c r="E27" t="s" s="47">
        <v>302</v>
      </c>
      <c r="F27" s="49"/>
      <c r="G27" s="48"/>
    </row>
    <row r="28" ht="15.75" customHeight="1">
      <c r="A28" t="s" s="47">
        <v>269</v>
      </c>
      <c r="B28" t="s" s="47">
        <v>912</v>
      </c>
      <c r="C28" t="s" s="47">
        <v>295</v>
      </c>
      <c r="D28" s="48">
        <v>0.55</v>
      </c>
      <c r="E28" t="s" s="47">
        <v>290</v>
      </c>
      <c r="F28" s="49"/>
      <c r="G28" s="48">
        <v>0.45</v>
      </c>
    </row>
    <row r="29" ht="15.75" customHeight="1">
      <c r="A29" t="s" s="47">
        <v>315</v>
      </c>
      <c r="B29" t="s" s="47">
        <v>916</v>
      </c>
      <c r="C29" t="s" s="47">
        <v>349</v>
      </c>
      <c r="D29" s="48">
        <v>0.51</v>
      </c>
      <c r="E29" t="s" s="47">
        <v>342</v>
      </c>
      <c r="F29" s="49"/>
      <c r="G29" s="48">
        <v>0.49</v>
      </c>
    </row>
    <row r="30" ht="15.75" customHeight="1">
      <c r="A30" t="s" s="47">
        <v>315</v>
      </c>
      <c r="B30" t="s" s="47">
        <v>912</v>
      </c>
      <c r="C30" t="s" s="47">
        <v>337</v>
      </c>
      <c r="D30" s="48">
        <v>0.51</v>
      </c>
      <c r="E30" t="s" s="47">
        <v>344</v>
      </c>
      <c r="F30" s="49"/>
      <c r="G30" s="48">
        <v>0.49</v>
      </c>
    </row>
    <row r="31" ht="15.75" customHeight="1">
      <c r="A31" t="s" s="47">
        <v>315</v>
      </c>
      <c r="B31" t="s" s="47">
        <v>914</v>
      </c>
      <c r="C31" t="s" s="47">
        <v>325</v>
      </c>
      <c r="D31" s="48">
        <v>0.51</v>
      </c>
      <c r="E31" t="s" s="47">
        <v>340</v>
      </c>
      <c r="F31" s="49"/>
      <c r="G31" s="48">
        <v>0.49</v>
      </c>
    </row>
    <row r="32" ht="15.75" customHeight="1">
      <c r="A32" t="s" s="47">
        <v>352</v>
      </c>
      <c r="B32" t="s" s="47">
        <v>912</v>
      </c>
      <c r="C32" t="s" s="47">
        <v>372</v>
      </c>
      <c r="D32" s="48">
        <v>0.55</v>
      </c>
      <c r="E32" t="s" s="47">
        <v>381</v>
      </c>
      <c r="F32" s="49"/>
      <c r="G32" s="48">
        <v>0.45</v>
      </c>
    </row>
    <row r="33" ht="15.75" customHeight="1">
      <c r="A33" t="s" s="47">
        <v>352</v>
      </c>
      <c r="B33" t="s" s="47">
        <v>912</v>
      </c>
      <c r="C33" t="s" s="47">
        <v>374</v>
      </c>
      <c r="D33" s="48">
        <v>0.51</v>
      </c>
      <c r="E33" t="s" s="47">
        <v>377</v>
      </c>
      <c r="F33" s="49"/>
      <c r="G33" s="48">
        <v>0.49</v>
      </c>
    </row>
    <row r="34" ht="15.75" customHeight="1">
      <c r="A34" t="s" s="47">
        <v>352</v>
      </c>
      <c r="B34" t="s" s="47">
        <v>917</v>
      </c>
      <c r="C34" t="s" s="47">
        <v>353</v>
      </c>
      <c r="D34" s="48">
        <v>0.55</v>
      </c>
      <c r="E34" t="s" s="47">
        <v>355</v>
      </c>
      <c r="F34" s="49"/>
      <c r="G34" s="48">
        <v>0.45</v>
      </c>
    </row>
    <row r="35" ht="15.75" customHeight="1">
      <c r="A35" t="s" s="47">
        <v>352</v>
      </c>
      <c r="B35" t="s" s="47">
        <v>913</v>
      </c>
      <c r="C35" t="s" s="47">
        <v>367</v>
      </c>
      <c r="D35" s="48">
        <v>0.55</v>
      </c>
      <c r="E35" t="s" s="47">
        <v>362</v>
      </c>
      <c r="F35" s="49"/>
      <c r="G35" s="48">
        <v>0.45</v>
      </c>
    </row>
    <row r="36" ht="15.75" customHeight="1">
      <c r="A36" t="s" s="47">
        <v>352</v>
      </c>
      <c r="B36" t="s" s="47">
        <v>914</v>
      </c>
      <c r="C36" t="s" s="47">
        <v>365</v>
      </c>
      <c r="D36" s="48">
        <v>0.6</v>
      </c>
      <c r="E36" t="s" s="47">
        <v>374</v>
      </c>
      <c r="F36" s="49"/>
      <c r="G36" s="48">
        <v>0.4</v>
      </c>
    </row>
    <row r="37" ht="15.75" customHeight="1">
      <c r="A37" t="s" s="47">
        <v>390</v>
      </c>
      <c r="B37" t="s" s="47">
        <v>912</v>
      </c>
      <c r="C37" t="s" s="47">
        <v>409</v>
      </c>
      <c r="D37" s="48">
        <v>0.51</v>
      </c>
      <c r="E37" t="s" s="47">
        <v>412</v>
      </c>
      <c r="F37" s="49"/>
      <c r="G37" s="48">
        <v>0.49</v>
      </c>
    </row>
    <row r="38" ht="15.75" customHeight="1">
      <c r="A38" t="s" s="47">
        <v>390</v>
      </c>
      <c r="B38" t="s" s="47">
        <v>913</v>
      </c>
      <c r="C38" t="s" s="47">
        <v>402</v>
      </c>
      <c r="D38" s="48">
        <v>0.6</v>
      </c>
      <c r="E38" t="s" s="47">
        <v>399</v>
      </c>
      <c r="F38" s="49"/>
      <c r="G38" s="48">
        <v>0.4</v>
      </c>
    </row>
    <row r="39" ht="15.75" customHeight="1">
      <c r="A39" t="s" s="47">
        <v>428</v>
      </c>
      <c r="B39" t="s" s="47">
        <v>912</v>
      </c>
      <c r="C39" t="s" s="47">
        <v>460</v>
      </c>
      <c r="D39" s="48">
        <v>0.55</v>
      </c>
      <c r="E39" t="s" s="47">
        <v>452</v>
      </c>
      <c r="F39" s="49"/>
      <c r="G39" s="48">
        <v>0.45</v>
      </c>
    </row>
    <row r="40" ht="15.75" customHeight="1">
      <c r="A40" t="s" s="47">
        <v>428</v>
      </c>
      <c r="B40" t="s" s="47">
        <v>912</v>
      </c>
      <c r="C40" t="s" s="47">
        <v>458</v>
      </c>
      <c r="D40" s="48">
        <v>0.6</v>
      </c>
      <c r="E40" t="s" s="47">
        <v>454</v>
      </c>
      <c r="F40" s="49"/>
      <c r="G40" s="48">
        <v>0.4</v>
      </c>
    </row>
    <row r="41" ht="15.75" customHeight="1">
      <c r="A41" t="s" s="47">
        <v>428</v>
      </c>
      <c r="B41" t="s" s="47">
        <v>913</v>
      </c>
      <c r="C41" t="s" s="47">
        <v>434</v>
      </c>
      <c r="D41" s="48">
        <v>0.51</v>
      </c>
      <c r="E41" t="s" s="47">
        <v>442</v>
      </c>
      <c r="F41" s="49"/>
      <c r="G41" s="48">
        <v>0.49</v>
      </c>
    </row>
    <row r="42" ht="15.75" customHeight="1">
      <c r="A42" t="s" s="47">
        <v>428</v>
      </c>
      <c r="B42" t="s" s="47">
        <v>913</v>
      </c>
      <c r="C42" t="s" s="47">
        <v>440</v>
      </c>
      <c r="D42" s="48">
        <v>0.6</v>
      </c>
      <c r="E42" t="s" s="47">
        <v>437</v>
      </c>
      <c r="F42" s="49"/>
      <c r="G42" s="48">
        <v>0.4</v>
      </c>
    </row>
    <row r="43" ht="15.75" customHeight="1">
      <c r="A43" t="s" s="47">
        <v>468</v>
      </c>
      <c r="B43" t="s" s="47">
        <v>912</v>
      </c>
      <c r="C43" t="s" s="47">
        <v>488</v>
      </c>
      <c r="D43" s="48">
        <v>0.51</v>
      </c>
      <c r="E43" t="s" s="47">
        <v>481</v>
      </c>
      <c r="F43" s="49"/>
      <c r="G43" s="48">
        <v>0.49</v>
      </c>
    </row>
    <row r="44" ht="15.75" customHeight="1">
      <c r="A44" t="s" s="47">
        <v>468</v>
      </c>
      <c r="B44" t="s" s="47">
        <v>911</v>
      </c>
      <c r="C44" t="s" s="47">
        <v>492</v>
      </c>
      <c r="D44" s="48">
        <v>0.51</v>
      </c>
      <c r="E44" t="s" s="47">
        <v>496</v>
      </c>
      <c r="F44" s="49"/>
      <c r="G44" s="48">
        <v>0.49</v>
      </c>
    </row>
    <row r="45" ht="15.75" customHeight="1">
      <c r="A45" t="s" s="47">
        <v>498</v>
      </c>
      <c r="B45" t="s" s="47">
        <v>911</v>
      </c>
      <c r="C45" t="s" s="47">
        <v>528</v>
      </c>
      <c r="D45" s="48">
        <v>0.55</v>
      </c>
      <c r="E45" t="s" s="47">
        <v>530</v>
      </c>
      <c r="F45" s="49"/>
      <c r="G45" s="48">
        <v>0.45</v>
      </c>
    </row>
    <row r="46" ht="15.75" customHeight="1">
      <c r="A46" t="s" s="47">
        <v>534</v>
      </c>
      <c r="B46" t="s" s="47">
        <v>911</v>
      </c>
      <c r="C46" t="s" s="47">
        <v>562</v>
      </c>
      <c r="D46" s="48">
        <v>0.55</v>
      </c>
      <c r="E46" t="s" s="47">
        <v>566</v>
      </c>
      <c r="F46" s="49"/>
      <c r="G46" s="48">
        <v>0.45</v>
      </c>
    </row>
    <row r="47" ht="15.75" customHeight="1">
      <c r="A47" t="s" s="47">
        <v>534</v>
      </c>
      <c r="B47" t="s" s="47">
        <v>912</v>
      </c>
      <c r="C47" t="s" s="47">
        <v>556</v>
      </c>
      <c r="D47" s="48">
        <v>0.55</v>
      </c>
      <c r="E47" t="s" s="47">
        <v>550</v>
      </c>
      <c r="F47" s="49"/>
      <c r="G47" s="48">
        <v>0.45</v>
      </c>
    </row>
    <row r="48" ht="15.75" customHeight="1">
      <c r="A48" t="s" s="47">
        <v>534</v>
      </c>
      <c r="B48" t="s" s="47">
        <v>916</v>
      </c>
      <c r="C48" t="s" s="47">
        <v>560</v>
      </c>
      <c r="D48" s="48">
        <v>0.55</v>
      </c>
      <c r="E48" t="s" s="47">
        <v>550</v>
      </c>
      <c r="F48" s="49"/>
      <c r="G48" s="48">
        <v>0.45</v>
      </c>
    </row>
    <row r="49" ht="15.75" customHeight="1">
      <c r="A49" t="s" s="47">
        <v>534</v>
      </c>
      <c r="B49" t="s" s="47">
        <v>912</v>
      </c>
      <c r="C49" t="s" s="47">
        <v>552</v>
      </c>
      <c r="D49" s="48">
        <v>0.51</v>
      </c>
      <c r="E49" t="s" s="47">
        <v>554</v>
      </c>
      <c r="F49" s="49"/>
      <c r="G49" s="48">
        <v>0.49</v>
      </c>
    </row>
    <row r="50" ht="15.75" customHeight="1">
      <c r="A50" t="s" s="47">
        <v>568</v>
      </c>
      <c r="B50" t="s" s="47">
        <v>918</v>
      </c>
      <c r="C50" t="s" s="47">
        <v>588</v>
      </c>
      <c r="D50" s="48">
        <v>0.6</v>
      </c>
      <c r="E50" t="s" s="47">
        <v>599</v>
      </c>
      <c r="F50" s="49"/>
      <c r="G50" s="48">
        <v>0.4</v>
      </c>
    </row>
    <row r="51" ht="15.75" customHeight="1">
      <c r="A51" t="s" s="47">
        <v>568</v>
      </c>
      <c r="B51" t="s" s="47">
        <v>913</v>
      </c>
      <c r="C51" t="s" s="47">
        <v>574</v>
      </c>
      <c r="D51" s="48">
        <v>0.51</v>
      </c>
      <c r="E51" t="s" s="47">
        <v>579</v>
      </c>
      <c r="F51" s="49"/>
      <c r="G51" s="48">
        <v>0.49</v>
      </c>
    </row>
    <row r="52" ht="15.75" customHeight="1">
      <c r="A52" t="s" s="47">
        <v>602</v>
      </c>
      <c r="B52" t="s" s="47">
        <v>912</v>
      </c>
      <c r="C52" t="s" s="47">
        <v>623</v>
      </c>
      <c r="D52" s="48">
        <v>0.51</v>
      </c>
      <c r="E52" t="s" s="47">
        <v>625</v>
      </c>
      <c r="F52" s="49"/>
      <c r="G52" s="48">
        <v>0.49</v>
      </c>
    </row>
    <row r="53" ht="15.75" customHeight="1">
      <c r="A53" t="s" s="47">
        <v>602</v>
      </c>
      <c r="B53" t="s" s="47">
        <v>916</v>
      </c>
      <c r="C53" t="s" s="47">
        <v>631</v>
      </c>
      <c r="D53" s="48">
        <v>0.55</v>
      </c>
      <c r="E53" t="s" s="47">
        <v>621</v>
      </c>
      <c r="F53" s="49"/>
      <c r="G53" s="48">
        <v>0.45</v>
      </c>
    </row>
    <row r="54" ht="15.75" customHeight="1">
      <c r="A54" t="s" s="47">
        <v>602</v>
      </c>
      <c r="B54" t="s" s="47">
        <v>917</v>
      </c>
      <c r="C54" t="s" s="47">
        <v>603</v>
      </c>
      <c r="D54" s="48">
        <v>0.55</v>
      </c>
      <c r="E54" t="s" s="47">
        <v>606</v>
      </c>
      <c r="F54" s="49"/>
      <c r="G54" s="48">
        <v>0.45</v>
      </c>
    </row>
    <row r="55" ht="15.75" customHeight="1">
      <c r="A55" t="s" s="47">
        <v>602</v>
      </c>
      <c r="B55" t="s" s="47">
        <v>916</v>
      </c>
      <c r="C55" t="s" s="47">
        <v>636</v>
      </c>
      <c r="D55" s="48">
        <v>0.51</v>
      </c>
      <c r="E55" t="s" s="47">
        <v>621</v>
      </c>
      <c r="F55" s="49"/>
      <c r="G55" s="48">
        <v>0.49</v>
      </c>
    </row>
    <row r="56" ht="15.75" customHeight="1">
      <c r="A56" t="s" s="47">
        <v>602</v>
      </c>
      <c r="B56" t="s" s="47">
        <v>911</v>
      </c>
      <c r="C56" t="s" s="47">
        <v>638</v>
      </c>
      <c r="D56" s="48">
        <v>0.51</v>
      </c>
      <c r="E56" t="s" s="47">
        <v>633</v>
      </c>
      <c r="F56" s="49"/>
      <c r="G56" s="48">
        <v>0.49</v>
      </c>
    </row>
    <row r="57" ht="15.75" customHeight="1">
      <c r="A57" t="s" s="47">
        <v>641</v>
      </c>
      <c r="B57" t="s" s="47">
        <v>913</v>
      </c>
      <c r="C57" t="s" s="47">
        <v>653</v>
      </c>
      <c r="D57" s="48">
        <v>0.55</v>
      </c>
      <c r="E57" t="s" s="47">
        <v>651</v>
      </c>
      <c r="F57" s="49"/>
      <c r="G57" s="48">
        <v>0.45</v>
      </c>
    </row>
    <row r="58" ht="15.75" customHeight="1">
      <c r="A58" t="s" s="47">
        <v>641</v>
      </c>
      <c r="B58" t="s" s="47">
        <v>916</v>
      </c>
      <c r="C58" t="s" s="47">
        <v>667</v>
      </c>
      <c r="D58" s="48">
        <v>0.51</v>
      </c>
      <c r="E58" t="s" s="47">
        <v>661</v>
      </c>
      <c r="F58" s="49"/>
      <c r="G58" s="48">
        <v>0.49</v>
      </c>
    </row>
    <row r="59" ht="15.75" customHeight="1">
      <c r="A59" t="s" s="47">
        <v>641</v>
      </c>
      <c r="B59" t="s" s="47">
        <v>911</v>
      </c>
      <c r="C59" t="s" s="47">
        <v>671</v>
      </c>
      <c r="D59" s="48">
        <v>0.55</v>
      </c>
      <c r="E59" t="s" s="47">
        <v>669</v>
      </c>
      <c r="F59" s="49"/>
      <c r="G59" s="48">
        <v>0.45</v>
      </c>
    </row>
    <row r="60" ht="15.75" customHeight="1">
      <c r="A60" t="s" s="47">
        <v>675</v>
      </c>
      <c r="B60" t="s" s="47">
        <v>913</v>
      </c>
      <c r="C60" t="s" s="47">
        <v>684</v>
      </c>
      <c r="D60" s="48">
        <v>0.51</v>
      </c>
      <c r="E60" t="s" s="47">
        <v>687</v>
      </c>
      <c r="F60" s="49"/>
      <c r="G60" s="48">
        <v>0.49</v>
      </c>
    </row>
    <row r="61" ht="15.75" customHeight="1">
      <c r="A61" t="s" s="47">
        <v>675</v>
      </c>
      <c r="B61" t="s" s="47">
        <v>917</v>
      </c>
      <c r="C61" t="s" s="47">
        <v>676</v>
      </c>
      <c r="D61" s="48">
        <v>0.51</v>
      </c>
      <c r="E61" t="s" s="47">
        <v>679</v>
      </c>
      <c r="F61" s="49"/>
      <c r="G61" s="48">
        <v>0.49</v>
      </c>
    </row>
    <row r="62" ht="15.75" customHeight="1">
      <c r="A62" t="s" s="47">
        <v>675</v>
      </c>
      <c r="B62" t="s" s="47">
        <v>912</v>
      </c>
      <c r="C62" t="s" s="47">
        <v>696</v>
      </c>
      <c r="D62" s="48">
        <v>0.51</v>
      </c>
      <c r="E62" t="s" s="47">
        <v>705</v>
      </c>
      <c r="F62" s="49"/>
      <c r="G62" s="48">
        <v>0.49</v>
      </c>
    </row>
    <row r="63" ht="15.75" customHeight="1">
      <c r="A63" t="s" s="47">
        <v>675</v>
      </c>
      <c r="B63" t="s" s="47">
        <v>911</v>
      </c>
      <c r="C63" t="s" s="47">
        <v>714</v>
      </c>
      <c r="D63" s="48">
        <v>0.6</v>
      </c>
      <c r="E63" t="s" s="47">
        <v>712</v>
      </c>
      <c r="F63" s="49"/>
      <c r="G63" s="48">
        <v>0.4</v>
      </c>
    </row>
    <row r="64" ht="15.75" customHeight="1">
      <c r="A64" t="s" s="47">
        <v>675</v>
      </c>
      <c r="B64" t="s" s="47">
        <v>916</v>
      </c>
      <c r="C64" t="s" s="47">
        <v>709</v>
      </c>
      <c r="D64" s="48">
        <v>0.6</v>
      </c>
      <c r="E64" t="s" s="47">
        <v>701</v>
      </c>
      <c r="F64" s="49"/>
      <c r="G64" s="48">
        <v>0.4</v>
      </c>
    </row>
    <row r="65" ht="15.75" customHeight="1">
      <c r="A65" t="s" s="47">
        <v>717</v>
      </c>
      <c r="B65" t="s" s="47">
        <v>918</v>
      </c>
      <c r="C65" t="s" s="47">
        <v>738</v>
      </c>
      <c r="D65" s="48">
        <v>0.51</v>
      </c>
      <c r="E65" t="s" s="47">
        <v>749</v>
      </c>
      <c r="F65" s="49"/>
      <c r="G65" s="48">
        <v>0.49</v>
      </c>
    </row>
    <row r="66" ht="15.75" customHeight="1">
      <c r="A66" t="s" s="47">
        <v>717</v>
      </c>
      <c r="B66" t="s" s="47">
        <v>913</v>
      </c>
      <c r="C66" t="s" s="47">
        <v>722</v>
      </c>
      <c r="D66" s="48">
        <v>0.51</v>
      </c>
      <c r="E66" t="s" s="47">
        <v>726</v>
      </c>
      <c r="F66" s="49"/>
      <c r="G66" s="48">
        <v>0.49</v>
      </c>
    </row>
    <row r="67" ht="15.75" customHeight="1">
      <c r="A67" t="s" s="47">
        <v>717</v>
      </c>
      <c r="B67" t="s" s="47">
        <v>912</v>
      </c>
      <c r="C67" t="s" s="47">
        <v>733</v>
      </c>
      <c r="D67" s="48">
        <v>0.51</v>
      </c>
      <c r="E67" t="s" s="47">
        <v>736</v>
      </c>
      <c r="F67" s="49"/>
      <c r="G67" s="48">
        <v>0.49</v>
      </c>
    </row>
    <row r="68" ht="15.75" customHeight="1">
      <c r="A68" t="s" s="47">
        <v>753</v>
      </c>
      <c r="B68" t="s" s="47">
        <v>912</v>
      </c>
      <c r="C68" t="s" s="47">
        <v>772</v>
      </c>
      <c r="D68" s="48">
        <v>0.55</v>
      </c>
      <c r="E68" t="s" s="47">
        <v>774</v>
      </c>
      <c r="F68" s="49"/>
      <c r="G68" s="48">
        <v>0.45</v>
      </c>
    </row>
    <row r="69" ht="15.75" customHeight="1">
      <c r="A69" t="s" s="47">
        <v>786</v>
      </c>
      <c r="B69" t="s" s="47">
        <v>913</v>
      </c>
      <c r="C69" t="s" s="47">
        <v>794</v>
      </c>
      <c r="D69" s="48">
        <v>0.51</v>
      </c>
      <c r="E69" t="s" s="47">
        <v>796</v>
      </c>
      <c r="F69" s="49"/>
      <c r="G69" s="48">
        <v>0.49</v>
      </c>
    </row>
    <row r="70" ht="15.75" customHeight="1">
      <c r="A70" t="s" s="47">
        <v>786</v>
      </c>
      <c r="B70" t="s" s="47">
        <v>911</v>
      </c>
      <c r="C70" t="s" s="47">
        <v>816</v>
      </c>
      <c r="D70" s="48">
        <v>0.55</v>
      </c>
      <c r="E70" t="s" s="47">
        <v>820</v>
      </c>
      <c r="F70" s="49"/>
      <c r="G70" s="48">
        <v>0.45</v>
      </c>
    </row>
    <row r="71" ht="15.75" customHeight="1">
      <c r="A71" t="s" s="47">
        <v>786</v>
      </c>
      <c r="B71" t="s" s="47">
        <v>913</v>
      </c>
      <c r="C71" t="s" s="47">
        <v>800</v>
      </c>
      <c r="D71" s="48">
        <v>0.51</v>
      </c>
      <c r="E71" t="s" s="47">
        <v>798</v>
      </c>
      <c r="F71" s="49"/>
      <c r="G71" s="48">
        <v>0.49</v>
      </c>
    </row>
  </sheetData>
  <pageMargins left="0.75" right="0.75" top="1" bottom="1" header="0" footer="0"/>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60"/>
  <sheetViews>
    <sheetView workbookViewId="0" showGridLines="0" defaultGridColor="1"/>
  </sheetViews>
  <sheetFormatPr defaultColWidth="14.5" defaultRowHeight="15" customHeight="1" outlineLevelRow="0" outlineLevelCol="0"/>
  <cols>
    <col min="1" max="1" width="15" style="50" customWidth="1"/>
    <col min="2" max="2" width="16" style="50" customWidth="1"/>
    <col min="3" max="3" width="9" style="50" customWidth="1"/>
    <col min="4" max="4" width="8" style="50" customWidth="1"/>
    <col min="5" max="5" width="24" style="50" customWidth="1"/>
    <col min="6" max="16384" width="14.5" style="50" customWidth="1"/>
  </cols>
  <sheetData>
    <row r="1" ht="30" customHeight="1">
      <c r="A1" t="s" s="24">
        <v>50</v>
      </c>
      <c r="B1" t="s" s="24">
        <v>919</v>
      </c>
      <c r="C1" t="s" s="24">
        <v>920</v>
      </c>
      <c r="D1" t="s" s="24">
        <v>27</v>
      </c>
      <c r="E1" t="s" s="24">
        <v>51</v>
      </c>
    </row>
    <row r="2" ht="13.65" customHeight="1">
      <c r="A2" t="s" s="47">
        <v>61</v>
      </c>
      <c r="B2" t="s" s="47">
        <v>921</v>
      </c>
      <c r="C2" s="33">
        <v>1</v>
      </c>
      <c r="D2" t="s" s="29">
        <v>100</v>
      </c>
      <c r="E2" t="s" s="47">
        <v>106</v>
      </c>
    </row>
    <row r="3" ht="13.65" customHeight="1">
      <c r="A3" t="s" s="47">
        <v>61</v>
      </c>
      <c r="B3" t="s" s="47">
        <v>921</v>
      </c>
      <c r="C3" s="33">
        <v>2</v>
      </c>
      <c r="D3" t="s" s="29">
        <v>86</v>
      </c>
      <c r="E3" t="s" s="47">
        <v>95</v>
      </c>
    </row>
    <row r="4" ht="13.65" customHeight="1">
      <c r="A4" t="s" s="47">
        <v>61</v>
      </c>
      <c r="B4" t="s" s="47">
        <v>921</v>
      </c>
      <c r="C4" s="33">
        <v>3</v>
      </c>
      <c r="D4" t="s" s="29">
        <v>86</v>
      </c>
      <c r="E4" t="s" s="47">
        <v>922</v>
      </c>
    </row>
    <row r="5" ht="13.65" customHeight="1">
      <c r="A5" t="s" s="47">
        <v>61</v>
      </c>
      <c r="B5" t="s" s="47">
        <v>54</v>
      </c>
      <c r="C5" s="33">
        <v>1</v>
      </c>
      <c r="D5" t="s" s="29">
        <v>86</v>
      </c>
      <c r="E5" t="s" s="47">
        <v>95</v>
      </c>
    </row>
    <row r="6" ht="13.65" customHeight="1">
      <c r="A6" t="s" s="47">
        <v>61</v>
      </c>
      <c r="B6" t="s" s="47">
        <v>54</v>
      </c>
      <c r="C6" s="33">
        <v>2</v>
      </c>
      <c r="D6" t="s" s="29">
        <v>86</v>
      </c>
      <c r="E6" t="s" s="47">
        <v>91</v>
      </c>
    </row>
    <row r="7" ht="13.65" customHeight="1">
      <c r="A7" t="s" s="47">
        <v>61</v>
      </c>
      <c r="B7" t="s" s="47">
        <v>923</v>
      </c>
      <c r="C7" s="33">
        <v>1</v>
      </c>
      <c r="D7" t="s" s="29">
        <v>86</v>
      </c>
      <c r="E7" t="s" s="47">
        <v>95</v>
      </c>
    </row>
    <row r="8" ht="13.65" customHeight="1">
      <c r="A8" t="s" s="47">
        <v>61</v>
      </c>
      <c r="B8" t="s" s="47">
        <v>923</v>
      </c>
      <c r="C8" s="33">
        <v>2</v>
      </c>
      <c r="D8" t="s" s="29">
        <v>86</v>
      </c>
      <c r="E8" t="s" s="47">
        <v>91</v>
      </c>
    </row>
    <row r="9" ht="13.65" customHeight="1">
      <c r="A9" t="s" s="47">
        <v>61</v>
      </c>
      <c r="B9" t="s" s="47">
        <v>923</v>
      </c>
      <c r="C9" s="33">
        <v>3</v>
      </c>
      <c r="D9" t="s" s="29">
        <v>67</v>
      </c>
      <c r="E9" t="s" s="47">
        <v>68</v>
      </c>
    </row>
    <row r="10" ht="13.65" customHeight="1">
      <c r="A10" t="s" s="47">
        <v>109</v>
      </c>
      <c r="B10" t="s" s="47">
        <v>921</v>
      </c>
      <c r="C10" s="33">
        <v>1</v>
      </c>
      <c r="D10" t="s" s="29">
        <v>86</v>
      </c>
      <c r="E10" t="s" s="47">
        <v>124</v>
      </c>
    </row>
    <row r="11" ht="13.65" customHeight="1">
      <c r="A11" t="s" s="47">
        <v>109</v>
      </c>
      <c r="B11" t="s" s="47">
        <v>921</v>
      </c>
      <c r="C11" s="33">
        <v>2</v>
      </c>
      <c r="D11" t="s" s="29">
        <v>100</v>
      </c>
      <c r="E11" t="s" s="47">
        <v>141</v>
      </c>
    </row>
    <row r="12" ht="13.65" customHeight="1">
      <c r="A12" t="s" s="47">
        <v>109</v>
      </c>
      <c r="B12" t="s" s="47">
        <v>921</v>
      </c>
      <c r="C12" s="33">
        <v>3</v>
      </c>
      <c r="D12" t="s" s="29">
        <v>86</v>
      </c>
      <c r="E12" t="s" s="47">
        <v>130</v>
      </c>
    </row>
    <row r="13" ht="13.65" customHeight="1">
      <c r="A13" t="s" s="47">
        <v>109</v>
      </c>
      <c r="B13" t="s" s="47">
        <v>54</v>
      </c>
      <c r="C13" s="33">
        <v>1</v>
      </c>
      <c r="D13" t="s" s="29">
        <v>86</v>
      </c>
      <c r="E13" t="s" s="47">
        <v>124</v>
      </c>
    </row>
    <row r="14" ht="13.65" customHeight="1">
      <c r="A14" t="s" s="47">
        <v>109</v>
      </c>
      <c r="B14" t="s" s="47">
        <v>54</v>
      </c>
      <c r="C14" s="33">
        <v>2</v>
      </c>
      <c r="D14" t="s" s="29">
        <v>86</v>
      </c>
      <c r="E14" t="s" s="47">
        <v>130</v>
      </c>
    </row>
    <row r="15" ht="13.65" customHeight="1">
      <c r="A15" t="s" s="47">
        <v>109</v>
      </c>
      <c r="B15" t="s" s="47">
        <v>923</v>
      </c>
      <c r="C15" s="33">
        <v>1</v>
      </c>
      <c r="D15" t="s" s="29">
        <v>86</v>
      </c>
      <c r="E15" t="s" s="47">
        <v>124</v>
      </c>
    </row>
    <row r="16" ht="13.65" customHeight="1">
      <c r="A16" t="s" s="47">
        <v>109</v>
      </c>
      <c r="B16" t="s" s="47">
        <v>923</v>
      </c>
      <c r="C16" s="33">
        <v>2</v>
      </c>
      <c r="D16" t="s" s="29">
        <v>86</v>
      </c>
      <c r="E16" t="s" s="47">
        <v>130</v>
      </c>
    </row>
    <row r="17" ht="13.65" customHeight="1">
      <c r="A17" t="s" s="47">
        <v>109</v>
      </c>
      <c r="B17" t="s" s="47">
        <v>923</v>
      </c>
      <c r="C17" s="33">
        <v>3</v>
      </c>
      <c r="D17" t="s" s="29">
        <v>67</v>
      </c>
      <c r="E17" t="s" s="47">
        <v>113</v>
      </c>
    </row>
    <row r="18" ht="13.65" customHeight="1">
      <c r="A18" t="s" s="47">
        <v>145</v>
      </c>
      <c r="B18" t="s" s="47">
        <v>921</v>
      </c>
      <c r="C18" s="33">
        <v>1</v>
      </c>
      <c r="D18" t="s" s="29">
        <v>86</v>
      </c>
      <c r="E18" t="s" s="47">
        <v>163</v>
      </c>
    </row>
    <row r="19" ht="13.65" customHeight="1">
      <c r="A19" t="s" s="47">
        <v>145</v>
      </c>
      <c r="B19" t="s" s="47">
        <v>921</v>
      </c>
      <c r="C19" s="33">
        <v>2</v>
      </c>
      <c r="D19" t="s" s="29">
        <v>67</v>
      </c>
      <c r="E19" t="s" s="47">
        <v>149</v>
      </c>
    </row>
    <row r="20" ht="13.65" customHeight="1">
      <c r="A20" t="s" s="47">
        <v>145</v>
      </c>
      <c r="B20" t="s" s="47">
        <v>921</v>
      </c>
      <c r="C20" s="33">
        <v>3</v>
      </c>
      <c r="D20" t="s" s="29">
        <v>86</v>
      </c>
      <c r="E20" t="s" s="47">
        <v>168</v>
      </c>
    </row>
    <row r="21" ht="15.75" customHeight="1">
      <c r="A21" t="s" s="47">
        <v>145</v>
      </c>
      <c r="B21" t="s" s="47">
        <v>54</v>
      </c>
      <c r="C21" s="33">
        <v>1</v>
      </c>
      <c r="D21" t="s" s="29">
        <v>86</v>
      </c>
      <c r="E21" t="s" s="47">
        <v>163</v>
      </c>
    </row>
    <row r="22" ht="15.75" customHeight="1">
      <c r="A22" t="s" s="47">
        <v>145</v>
      </c>
      <c r="B22" t="s" s="47">
        <v>54</v>
      </c>
      <c r="C22" s="33">
        <v>2</v>
      </c>
      <c r="D22" t="s" s="29">
        <v>100</v>
      </c>
      <c r="E22" t="s" s="47">
        <v>175</v>
      </c>
    </row>
    <row r="23" ht="15.75" customHeight="1">
      <c r="A23" t="s" s="47">
        <v>145</v>
      </c>
      <c r="B23" t="s" s="47">
        <v>923</v>
      </c>
      <c r="C23" s="33">
        <v>1</v>
      </c>
      <c r="D23" t="s" s="29">
        <v>86</v>
      </c>
      <c r="E23" t="s" s="47">
        <v>163</v>
      </c>
    </row>
    <row r="24" ht="15.75" customHeight="1">
      <c r="A24" t="s" s="47">
        <v>145</v>
      </c>
      <c r="B24" t="s" s="47">
        <v>923</v>
      </c>
      <c r="C24" s="33">
        <v>2</v>
      </c>
      <c r="D24" t="s" s="29">
        <v>67</v>
      </c>
      <c r="E24" t="s" s="47">
        <v>151</v>
      </c>
    </row>
    <row r="25" ht="15.75" customHeight="1">
      <c r="A25" t="s" s="47">
        <v>145</v>
      </c>
      <c r="B25" t="s" s="47">
        <v>923</v>
      </c>
      <c r="C25" s="33">
        <v>3</v>
      </c>
      <c r="D25" t="s" s="29">
        <v>100</v>
      </c>
      <c r="E25" t="s" s="47">
        <v>175</v>
      </c>
    </row>
    <row r="26" ht="15.75" customHeight="1">
      <c r="A26" t="s" s="47">
        <v>185</v>
      </c>
      <c r="B26" t="s" s="47">
        <v>921</v>
      </c>
      <c r="C26" s="33">
        <v>1</v>
      </c>
      <c r="D26" t="s" s="29">
        <v>86</v>
      </c>
      <c r="E26" t="s" s="47">
        <v>206</v>
      </c>
    </row>
    <row r="27" ht="15.75" customHeight="1">
      <c r="A27" t="s" s="47">
        <v>185</v>
      </c>
      <c r="B27" t="s" s="47">
        <v>921</v>
      </c>
      <c r="C27" s="33">
        <v>2</v>
      </c>
      <c r="D27" t="s" s="29">
        <v>100</v>
      </c>
      <c r="E27" t="s" s="47">
        <v>222</v>
      </c>
    </row>
    <row r="28" ht="15.75" customHeight="1">
      <c r="A28" t="s" s="47">
        <v>185</v>
      </c>
      <c r="B28" t="s" s="47">
        <v>921</v>
      </c>
      <c r="C28" s="33">
        <v>3</v>
      </c>
      <c r="D28" t="s" s="29">
        <v>86</v>
      </c>
      <c r="E28" t="s" s="47">
        <v>209</v>
      </c>
    </row>
    <row r="29" ht="15.75" customHeight="1">
      <c r="A29" t="s" s="47">
        <v>185</v>
      </c>
      <c r="B29" t="s" s="47">
        <v>54</v>
      </c>
      <c r="C29" s="33">
        <v>1</v>
      </c>
      <c r="D29" t="s" s="29">
        <v>86</v>
      </c>
      <c r="E29" t="s" s="47">
        <v>208</v>
      </c>
    </row>
    <row r="30" ht="15.75" customHeight="1">
      <c r="A30" t="s" s="47">
        <v>185</v>
      </c>
      <c r="B30" t="s" s="47">
        <v>54</v>
      </c>
      <c r="C30" s="33">
        <v>2</v>
      </c>
      <c r="D30" t="s" s="29">
        <v>86</v>
      </c>
      <c r="E30" t="s" s="47">
        <v>209</v>
      </c>
    </row>
    <row r="31" ht="15.75" customHeight="1">
      <c r="A31" t="s" s="47">
        <v>185</v>
      </c>
      <c r="B31" t="s" s="47">
        <v>923</v>
      </c>
      <c r="C31" s="33">
        <v>1</v>
      </c>
      <c r="D31" t="s" s="29">
        <v>86</v>
      </c>
      <c r="E31" t="s" s="47">
        <v>208</v>
      </c>
    </row>
    <row r="32" ht="15.75" customHeight="1">
      <c r="A32" t="s" s="47">
        <v>185</v>
      </c>
      <c r="B32" t="s" s="47">
        <v>923</v>
      </c>
      <c r="C32" s="33">
        <v>2</v>
      </c>
      <c r="D32" t="s" s="29">
        <v>86</v>
      </c>
      <c r="E32" t="s" s="47">
        <v>209</v>
      </c>
    </row>
    <row r="33" ht="15.75" customHeight="1">
      <c r="A33" t="s" s="47">
        <v>185</v>
      </c>
      <c r="B33" t="s" s="47">
        <v>923</v>
      </c>
      <c r="C33" s="33">
        <v>3</v>
      </c>
      <c r="D33" t="s" s="29">
        <v>86</v>
      </c>
      <c r="E33" t="s" s="47">
        <v>206</v>
      </c>
    </row>
    <row r="34" ht="15.75" customHeight="1">
      <c r="A34" t="s" s="47">
        <v>231</v>
      </c>
      <c r="B34" t="s" s="47">
        <v>921</v>
      </c>
      <c r="C34" s="33">
        <v>1</v>
      </c>
      <c r="D34" t="s" s="29">
        <v>100</v>
      </c>
      <c r="E34" t="s" s="47">
        <v>265</v>
      </c>
    </row>
    <row r="35" ht="15.75" customHeight="1">
      <c r="A35" t="s" s="47">
        <v>231</v>
      </c>
      <c r="B35" t="s" s="47">
        <v>921</v>
      </c>
      <c r="C35" s="33">
        <v>2</v>
      </c>
      <c r="D35" t="s" s="29">
        <v>86</v>
      </c>
      <c r="E35" t="s" s="47">
        <v>254</v>
      </c>
    </row>
    <row r="36" ht="15.75" customHeight="1">
      <c r="A36" t="s" s="47">
        <v>231</v>
      </c>
      <c r="B36" t="s" s="47">
        <v>921</v>
      </c>
      <c r="C36" s="33">
        <v>3</v>
      </c>
      <c r="D36" t="s" s="29">
        <v>86</v>
      </c>
      <c r="E36" t="s" s="47">
        <v>253</v>
      </c>
    </row>
    <row r="37" ht="15.75" customHeight="1">
      <c r="A37" t="s" s="47">
        <v>231</v>
      </c>
      <c r="B37" t="s" s="47">
        <v>54</v>
      </c>
      <c r="C37" s="33">
        <v>1</v>
      </c>
      <c r="D37" t="s" s="29">
        <v>86</v>
      </c>
      <c r="E37" t="s" s="47">
        <v>253</v>
      </c>
    </row>
    <row r="38" ht="15.75" customHeight="1">
      <c r="A38" t="s" s="47">
        <v>231</v>
      </c>
      <c r="B38" t="s" s="47">
        <v>54</v>
      </c>
      <c r="C38" s="33">
        <v>2</v>
      </c>
      <c r="D38" t="s" s="29">
        <v>86</v>
      </c>
      <c r="E38" t="s" s="47">
        <v>252</v>
      </c>
    </row>
    <row r="39" ht="15.75" customHeight="1">
      <c r="A39" t="s" s="47">
        <v>231</v>
      </c>
      <c r="B39" t="s" s="47">
        <v>923</v>
      </c>
      <c r="C39" s="33">
        <v>1</v>
      </c>
      <c r="D39" t="s" s="29">
        <v>86</v>
      </c>
      <c r="E39" t="s" s="47">
        <v>252</v>
      </c>
    </row>
    <row r="40" ht="15.75" customHeight="1">
      <c r="A40" t="s" s="47">
        <v>231</v>
      </c>
      <c r="B40" t="s" s="47">
        <v>923</v>
      </c>
      <c r="C40" s="33">
        <v>2</v>
      </c>
      <c r="D40" t="s" s="29">
        <v>86</v>
      </c>
      <c r="E40" t="s" s="47">
        <v>253</v>
      </c>
    </row>
    <row r="41" ht="15.75" customHeight="1">
      <c r="A41" t="s" s="47">
        <v>231</v>
      </c>
      <c r="B41" t="s" s="47">
        <v>923</v>
      </c>
      <c r="C41" s="33">
        <v>3</v>
      </c>
      <c r="D41" t="s" s="29">
        <v>86</v>
      </c>
      <c r="E41" t="s" s="47">
        <v>256</v>
      </c>
    </row>
    <row r="42" ht="15.75" customHeight="1">
      <c r="A42" t="s" s="47">
        <v>269</v>
      </c>
      <c r="B42" t="s" s="47">
        <v>921</v>
      </c>
      <c r="C42" s="33">
        <v>1</v>
      </c>
      <c r="D42" t="s" s="29">
        <v>86</v>
      </c>
      <c r="E42" t="s" s="47">
        <v>290</v>
      </c>
    </row>
    <row r="43" ht="15.75" customHeight="1">
      <c r="A43" t="s" s="47">
        <v>269</v>
      </c>
      <c r="B43" t="s" s="47">
        <v>921</v>
      </c>
      <c r="C43" s="33">
        <v>2</v>
      </c>
      <c r="D43" t="s" s="29">
        <v>100</v>
      </c>
      <c r="E43" t="s" s="47">
        <v>310</v>
      </c>
    </row>
    <row r="44" ht="15.75" customHeight="1">
      <c r="A44" t="s" s="47">
        <v>269</v>
      </c>
      <c r="B44" t="s" s="47">
        <v>921</v>
      </c>
      <c r="C44" s="33">
        <v>3</v>
      </c>
      <c r="D44" t="s" s="29">
        <v>100</v>
      </c>
      <c r="E44" t="s" s="47">
        <v>313</v>
      </c>
    </row>
    <row r="45" ht="15.75" customHeight="1">
      <c r="A45" t="s" s="47">
        <v>269</v>
      </c>
      <c r="B45" t="s" s="47">
        <v>54</v>
      </c>
      <c r="C45" s="33">
        <v>1</v>
      </c>
      <c r="D45" t="s" s="29">
        <v>86</v>
      </c>
      <c r="E45" t="s" s="47">
        <v>290</v>
      </c>
    </row>
    <row r="46" ht="15.75" customHeight="1">
      <c r="A46" t="s" s="47">
        <v>269</v>
      </c>
      <c r="B46" t="s" s="47">
        <v>54</v>
      </c>
      <c r="C46" s="33">
        <v>2</v>
      </c>
      <c r="D46" t="s" s="29">
        <v>100</v>
      </c>
      <c r="E46" t="s" s="47">
        <v>310</v>
      </c>
    </row>
    <row r="47" ht="15.75" customHeight="1">
      <c r="A47" t="s" s="47">
        <v>269</v>
      </c>
      <c r="B47" t="s" s="47">
        <v>923</v>
      </c>
      <c r="C47" s="33">
        <v>1</v>
      </c>
      <c r="D47" t="s" s="29">
        <v>86</v>
      </c>
      <c r="E47" t="s" s="47">
        <v>290</v>
      </c>
    </row>
    <row r="48" ht="15.75" customHeight="1">
      <c r="A48" t="s" s="47">
        <v>269</v>
      </c>
      <c r="B48" t="s" s="47">
        <v>923</v>
      </c>
      <c r="C48" s="33">
        <v>2</v>
      </c>
      <c r="D48" t="s" s="29">
        <v>100</v>
      </c>
      <c r="E48" t="s" s="47">
        <v>313</v>
      </c>
    </row>
    <row r="49" ht="15.75" customHeight="1">
      <c r="A49" t="s" s="47">
        <v>269</v>
      </c>
      <c r="B49" t="s" s="47">
        <v>923</v>
      </c>
      <c r="C49" s="33">
        <v>3</v>
      </c>
      <c r="D49" t="s" s="29">
        <v>100</v>
      </c>
      <c r="E49" t="s" s="47">
        <v>310</v>
      </c>
    </row>
    <row r="50" ht="15.75" customHeight="1">
      <c r="A50" t="s" s="47">
        <v>315</v>
      </c>
      <c r="B50" t="s" s="47">
        <v>921</v>
      </c>
      <c r="C50" s="33">
        <v>1</v>
      </c>
      <c r="D50" t="s" s="29">
        <v>100</v>
      </c>
      <c r="E50" t="s" s="47">
        <v>348</v>
      </c>
    </row>
    <row r="51" ht="15.75" customHeight="1">
      <c r="A51" t="s" s="47">
        <v>315</v>
      </c>
      <c r="B51" t="s" s="47">
        <v>921</v>
      </c>
      <c r="C51" s="33">
        <v>2</v>
      </c>
      <c r="D51" t="s" s="29">
        <v>67</v>
      </c>
      <c r="E51" t="s" s="47">
        <v>322</v>
      </c>
    </row>
    <row r="52" ht="15.75" customHeight="1">
      <c r="A52" t="s" s="47">
        <v>315</v>
      </c>
      <c r="B52" t="s" s="47">
        <v>921</v>
      </c>
      <c r="C52" s="33">
        <v>3</v>
      </c>
      <c r="D52" t="s" s="29">
        <v>100</v>
      </c>
      <c r="E52" t="s" s="47">
        <v>349</v>
      </c>
    </row>
    <row r="53" ht="15.75" customHeight="1">
      <c r="A53" t="s" s="47">
        <v>315</v>
      </c>
      <c r="B53" t="s" s="47">
        <v>54</v>
      </c>
      <c r="C53" s="33">
        <v>1</v>
      </c>
      <c r="D53" t="s" s="29">
        <v>86</v>
      </c>
      <c r="E53" t="s" s="47">
        <v>337</v>
      </c>
    </row>
    <row r="54" ht="15.75" customHeight="1">
      <c r="A54" t="s" s="47">
        <v>315</v>
      </c>
      <c r="B54" t="s" s="47">
        <v>54</v>
      </c>
      <c r="C54" s="33">
        <v>2</v>
      </c>
      <c r="D54" t="s" s="29">
        <v>86</v>
      </c>
      <c r="E54" t="s" s="47">
        <v>346</v>
      </c>
    </row>
    <row r="55" ht="15.75" customHeight="1">
      <c r="A55" t="s" s="47">
        <v>315</v>
      </c>
      <c r="B55" t="s" s="47">
        <v>923</v>
      </c>
      <c r="C55" s="33">
        <v>1</v>
      </c>
      <c r="D55" t="s" s="29">
        <v>67</v>
      </c>
      <c r="E55" t="s" s="47">
        <v>325</v>
      </c>
    </row>
    <row r="56" ht="15.75" customHeight="1">
      <c r="A56" t="s" s="47">
        <v>315</v>
      </c>
      <c r="B56" t="s" s="47">
        <v>923</v>
      </c>
      <c r="C56" s="33">
        <v>2</v>
      </c>
      <c r="D56" t="s" s="29">
        <v>86</v>
      </c>
      <c r="E56" t="s" s="47">
        <v>337</v>
      </c>
    </row>
    <row r="57" ht="15.75" customHeight="1">
      <c r="A57" t="s" s="47">
        <v>315</v>
      </c>
      <c r="B57" t="s" s="47">
        <v>923</v>
      </c>
      <c r="C57" s="33">
        <v>3</v>
      </c>
      <c r="D57" t="s" s="29">
        <v>86</v>
      </c>
      <c r="E57" t="s" s="47">
        <v>346</v>
      </c>
    </row>
    <row r="58" ht="15.75" customHeight="1">
      <c r="A58" t="s" s="47">
        <v>352</v>
      </c>
      <c r="B58" t="s" s="47">
        <v>921</v>
      </c>
      <c r="C58" s="33">
        <v>1</v>
      </c>
      <c r="D58" t="s" s="29">
        <v>86</v>
      </c>
      <c r="E58" t="s" s="47">
        <v>371</v>
      </c>
    </row>
    <row r="59" ht="15.75" customHeight="1">
      <c r="A59" t="s" s="47">
        <v>352</v>
      </c>
      <c r="B59" t="s" s="47">
        <v>921</v>
      </c>
      <c r="C59" s="33">
        <v>2</v>
      </c>
      <c r="D59" t="s" s="29">
        <v>86</v>
      </c>
      <c r="E59" t="s" s="47">
        <v>372</v>
      </c>
    </row>
    <row r="60" ht="15.75" customHeight="1">
      <c r="A60" t="s" s="47">
        <v>352</v>
      </c>
      <c r="B60" t="s" s="47">
        <v>921</v>
      </c>
      <c r="C60" s="33">
        <v>3</v>
      </c>
      <c r="D60" t="s" s="29">
        <v>100</v>
      </c>
      <c r="E60" t="s" s="47">
        <v>384</v>
      </c>
    </row>
    <row r="61" ht="15.75" customHeight="1">
      <c r="A61" t="s" s="47">
        <v>352</v>
      </c>
      <c r="B61" t="s" s="47">
        <v>54</v>
      </c>
      <c r="C61" s="33">
        <v>1</v>
      </c>
      <c r="D61" t="s" s="29">
        <v>67</v>
      </c>
      <c r="E61" t="s" s="47">
        <v>360</v>
      </c>
    </row>
    <row r="62" ht="15.75" customHeight="1">
      <c r="A62" t="s" s="47">
        <v>352</v>
      </c>
      <c r="B62" t="s" s="47">
        <v>54</v>
      </c>
      <c r="C62" s="33">
        <v>2</v>
      </c>
      <c r="D62" t="s" s="29">
        <v>86</v>
      </c>
      <c r="E62" t="s" s="47">
        <v>371</v>
      </c>
    </row>
    <row r="63" ht="15.75" customHeight="1">
      <c r="A63" t="s" s="47">
        <v>352</v>
      </c>
      <c r="B63" t="s" s="47">
        <v>923</v>
      </c>
      <c r="C63" s="33">
        <v>1</v>
      </c>
      <c r="D63" t="s" s="29">
        <v>86</v>
      </c>
      <c r="E63" t="s" s="47">
        <v>371</v>
      </c>
    </row>
    <row r="64" ht="15.75" customHeight="1">
      <c r="A64" t="s" s="47">
        <v>352</v>
      </c>
      <c r="B64" t="s" s="47">
        <v>923</v>
      </c>
      <c r="C64" s="33">
        <v>2</v>
      </c>
      <c r="D64" t="s" s="29">
        <v>67</v>
      </c>
      <c r="E64" t="s" s="47">
        <v>360</v>
      </c>
    </row>
    <row r="65" ht="15.75" customHeight="1">
      <c r="A65" t="s" s="47">
        <v>352</v>
      </c>
      <c r="B65" t="s" s="47">
        <v>923</v>
      </c>
      <c r="C65" s="33">
        <v>3</v>
      </c>
      <c r="D65" t="s" s="29">
        <v>86</v>
      </c>
      <c r="E65" t="s" s="47">
        <v>372</v>
      </c>
    </row>
    <row r="66" ht="15.75" customHeight="1">
      <c r="A66" t="s" s="47">
        <v>390</v>
      </c>
      <c r="B66" t="s" s="47">
        <v>921</v>
      </c>
      <c r="C66" s="33">
        <v>1</v>
      </c>
      <c r="D66" t="s" s="29">
        <v>100</v>
      </c>
      <c r="E66" t="s" s="47">
        <v>420</v>
      </c>
    </row>
    <row r="67" ht="15.75" customHeight="1">
      <c r="A67" t="s" s="47">
        <v>390</v>
      </c>
      <c r="B67" t="s" s="47">
        <v>921</v>
      </c>
      <c r="C67" s="33">
        <v>2</v>
      </c>
      <c r="D67" t="s" s="29">
        <v>86</v>
      </c>
      <c r="E67" t="s" s="47">
        <v>406</v>
      </c>
    </row>
    <row r="68" ht="15.75" customHeight="1">
      <c r="A68" t="s" s="47">
        <v>390</v>
      </c>
      <c r="B68" t="s" s="47">
        <v>921</v>
      </c>
      <c r="C68" s="33">
        <v>3</v>
      </c>
      <c r="D68" t="s" s="29">
        <v>100</v>
      </c>
      <c r="E68" t="s" s="47">
        <v>421</v>
      </c>
    </row>
    <row r="69" ht="15.75" customHeight="1">
      <c r="A69" t="s" s="47">
        <v>390</v>
      </c>
      <c r="B69" t="s" s="47">
        <v>54</v>
      </c>
      <c r="C69" s="33">
        <v>1</v>
      </c>
      <c r="D69" t="s" s="29">
        <v>100</v>
      </c>
      <c r="E69" t="s" s="47">
        <v>421</v>
      </c>
    </row>
    <row r="70" ht="15.75" customHeight="1">
      <c r="A70" t="s" s="47">
        <v>390</v>
      </c>
      <c r="B70" t="s" s="47">
        <v>54</v>
      </c>
      <c r="C70" s="33">
        <v>2</v>
      </c>
      <c r="D70" t="s" s="29">
        <v>67</v>
      </c>
      <c r="E70" t="s" s="47">
        <v>395</v>
      </c>
    </row>
    <row r="71" ht="15.75" customHeight="1">
      <c r="A71" t="s" s="47">
        <v>390</v>
      </c>
      <c r="B71" t="s" s="47">
        <v>923</v>
      </c>
      <c r="C71" s="33">
        <v>1</v>
      </c>
      <c r="D71" t="s" s="29">
        <v>100</v>
      </c>
      <c r="E71" t="s" s="47">
        <v>421</v>
      </c>
    </row>
    <row r="72" ht="15.75" customHeight="1">
      <c r="A72" t="s" s="47">
        <v>390</v>
      </c>
      <c r="B72" t="s" s="47">
        <v>923</v>
      </c>
      <c r="C72" s="33">
        <v>2</v>
      </c>
      <c r="D72" t="s" s="29">
        <v>67</v>
      </c>
      <c r="E72" t="s" s="47">
        <v>395</v>
      </c>
    </row>
    <row r="73" ht="15.75" customHeight="1">
      <c r="A73" t="s" s="47">
        <v>390</v>
      </c>
      <c r="B73" t="s" s="47">
        <v>923</v>
      </c>
      <c r="C73" s="33">
        <v>3</v>
      </c>
      <c r="D73" t="s" s="29">
        <v>86</v>
      </c>
      <c r="E73" t="s" s="47">
        <v>406</v>
      </c>
    </row>
    <row r="74" ht="15.75" customHeight="1">
      <c r="A74" t="s" s="47">
        <v>428</v>
      </c>
      <c r="B74" t="s" s="47">
        <v>921</v>
      </c>
      <c r="C74" s="33">
        <v>1</v>
      </c>
      <c r="D74" t="s" s="29">
        <v>86</v>
      </c>
      <c r="E74" t="s" s="47">
        <v>450</v>
      </c>
    </row>
    <row r="75" ht="15.75" customHeight="1">
      <c r="A75" t="s" s="47">
        <v>428</v>
      </c>
      <c r="B75" t="s" s="47">
        <v>921</v>
      </c>
      <c r="C75" s="33">
        <v>2</v>
      </c>
      <c r="D75" t="s" s="29">
        <v>86</v>
      </c>
      <c r="E75" t="s" s="47">
        <v>448</v>
      </c>
    </row>
    <row r="76" ht="15.75" customHeight="1">
      <c r="A76" t="s" s="47">
        <v>428</v>
      </c>
      <c r="B76" t="s" s="47">
        <v>921</v>
      </c>
      <c r="C76" s="33">
        <v>3</v>
      </c>
      <c r="D76" t="s" s="29">
        <v>86</v>
      </c>
      <c r="E76" t="s" s="47">
        <v>452</v>
      </c>
    </row>
    <row r="77" ht="15.75" customHeight="1">
      <c r="A77" t="s" s="47">
        <v>428</v>
      </c>
      <c r="B77" t="s" s="47">
        <v>54</v>
      </c>
      <c r="C77" s="33">
        <v>1</v>
      </c>
      <c r="D77" t="s" s="29">
        <v>86</v>
      </c>
      <c r="E77" t="s" s="47">
        <v>450</v>
      </c>
    </row>
    <row r="78" ht="15.75" customHeight="1">
      <c r="A78" t="s" s="47">
        <v>428</v>
      </c>
      <c r="B78" t="s" s="47">
        <v>54</v>
      </c>
      <c r="C78" s="33">
        <v>2</v>
      </c>
      <c r="D78" t="s" s="29">
        <v>86</v>
      </c>
      <c r="E78" t="s" s="47">
        <v>452</v>
      </c>
    </row>
    <row r="79" ht="15.75" customHeight="1">
      <c r="A79" t="s" s="47">
        <v>428</v>
      </c>
      <c r="B79" t="s" s="47">
        <v>923</v>
      </c>
      <c r="C79" s="33">
        <v>1</v>
      </c>
      <c r="D79" t="s" s="29">
        <v>86</v>
      </c>
      <c r="E79" t="s" s="47">
        <v>450</v>
      </c>
    </row>
    <row r="80" ht="15.75" customHeight="1">
      <c r="A80" t="s" s="47">
        <v>428</v>
      </c>
      <c r="B80" t="s" s="47">
        <v>923</v>
      </c>
      <c r="C80" s="33">
        <v>2</v>
      </c>
      <c r="D80" t="s" s="29">
        <v>86</v>
      </c>
      <c r="E80" t="s" s="47">
        <v>448</v>
      </c>
    </row>
    <row r="81" ht="15.75" customHeight="1">
      <c r="A81" t="s" s="47">
        <v>428</v>
      </c>
      <c r="B81" t="s" s="47">
        <v>923</v>
      </c>
      <c r="C81" s="33">
        <v>3</v>
      </c>
      <c r="D81" t="s" s="29">
        <v>86</v>
      </c>
      <c r="E81" t="s" s="47">
        <v>460</v>
      </c>
    </row>
    <row r="82" ht="15.75" customHeight="1">
      <c r="A82" t="s" s="47">
        <v>468</v>
      </c>
      <c r="B82" t="s" s="47">
        <v>921</v>
      </c>
      <c r="C82" s="33">
        <v>1</v>
      </c>
      <c r="D82" t="s" s="29">
        <v>100</v>
      </c>
      <c r="E82" t="s" s="47">
        <v>492</v>
      </c>
    </row>
    <row r="83" ht="15.75" customHeight="1">
      <c r="A83" t="s" s="47">
        <v>468</v>
      </c>
      <c r="B83" t="s" s="47">
        <v>921</v>
      </c>
      <c r="C83" s="33">
        <v>2</v>
      </c>
      <c r="D83" t="s" s="29">
        <v>100</v>
      </c>
      <c r="E83" t="s" s="47">
        <v>496</v>
      </c>
    </row>
    <row r="84" ht="15.75" customHeight="1">
      <c r="A84" t="s" s="47">
        <v>468</v>
      </c>
      <c r="B84" t="s" s="47">
        <v>921</v>
      </c>
      <c r="C84" s="33">
        <v>3</v>
      </c>
      <c r="D84" t="s" s="29">
        <v>86</v>
      </c>
      <c r="E84" t="s" s="47">
        <v>483</v>
      </c>
    </row>
    <row r="85" ht="15.75" customHeight="1">
      <c r="A85" t="s" s="47">
        <v>468</v>
      </c>
      <c r="B85" t="s" s="47">
        <v>54</v>
      </c>
      <c r="C85" s="33">
        <v>1</v>
      </c>
      <c r="D85" t="s" s="29">
        <v>67</v>
      </c>
      <c r="E85" t="s" s="47">
        <v>471</v>
      </c>
    </row>
    <row r="86" ht="15.75" customHeight="1">
      <c r="A86" t="s" s="47">
        <v>468</v>
      </c>
      <c r="B86" t="s" s="47">
        <v>54</v>
      </c>
      <c r="C86" s="33">
        <v>2</v>
      </c>
      <c r="D86" t="s" s="29">
        <v>86</v>
      </c>
      <c r="E86" t="s" s="47">
        <v>483</v>
      </c>
    </row>
    <row r="87" ht="15.75" customHeight="1">
      <c r="A87" t="s" s="47">
        <v>468</v>
      </c>
      <c r="B87" t="s" s="47">
        <v>923</v>
      </c>
      <c r="C87" s="33">
        <v>1</v>
      </c>
      <c r="D87" t="s" s="29">
        <v>67</v>
      </c>
      <c r="E87" t="s" s="47">
        <v>471</v>
      </c>
    </row>
    <row r="88" ht="15.75" customHeight="1">
      <c r="A88" t="s" s="47">
        <v>468</v>
      </c>
      <c r="B88" t="s" s="47">
        <v>923</v>
      </c>
      <c r="C88" s="33">
        <v>2</v>
      </c>
      <c r="D88" t="s" s="29">
        <v>86</v>
      </c>
      <c r="E88" t="s" s="47">
        <v>483</v>
      </c>
    </row>
    <row r="89" ht="15.75" customHeight="1">
      <c r="A89" t="s" s="47">
        <v>468</v>
      </c>
      <c r="B89" t="s" s="47">
        <v>923</v>
      </c>
      <c r="C89" s="33">
        <v>3</v>
      </c>
      <c r="D89" t="s" s="29">
        <v>86</v>
      </c>
      <c r="E89" t="s" s="47">
        <v>481</v>
      </c>
    </row>
    <row r="90" ht="15.75" customHeight="1">
      <c r="A90" t="s" s="47">
        <v>498</v>
      </c>
      <c r="B90" t="s" s="47">
        <v>921</v>
      </c>
      <c r="C90" s="33">
        <v>1</v>
      </c>
      <c r="D90" t="s" s="29">
        <v>100</v>
      </c>
      <c r="E90" t="s" s="47">
        <v>526</v>
      </c>
    </row>
    <row r="91" ht="15.75" customHeight="1">
      <c r="A91" t="s" s="47">
        <v>498</v>
      </c>
      <c r="B91" t="s" s="47">
        <v>921</v>
      </c>
      <c r="C91" s="33">
        <v>2</v>
      </c>
      <c r="D91" t="s" s="29">
        <v>86</v>
      </c>
      <c r="E91" t="s" s="47">
        <v>513</v>
      </c>
    </row>
    <row r="92" ht="15.75" customHeight="1">
      <c r="A92" t="s" s="47">
        <v>498</v>
      </c>
      <c r="B92" t="s" s="47">
        <v>921</v>
      </c>
      <c r="C92" s="33">
        <v>3</v>
      </c>
      <c r="D92" t="s" s="29">
        <v>86</v>
      </c>
      <c r="E92" t="s" s="47">
        <v>512</v>
      </c>
    </row>
    <row r="93" ht="15.75" customHeight="1">
      <c r="A93" t="s" s="47">
        <v>498</v>
      </c>
      <c r="B93" t="s" s="47">
        <v>54</v>
      </c>
      <c r="C93" s="33">
        <v>1</v>
      </c>
      <c r="D93" t="s" s="29">
        <v>86</v>
      </c>
      <c r="E93" t="s" s="47">
        <v>512</v>
      </c>
    </row>
    <row r="94" ht="15.75" customHeight="1">
      <c r="A94" t="s" s="47">
        <v>498</v>
      </c>
      <c r="B94" t="s" s="47">
        <v>54</v>
      </c>
      <c r="C94" s="33">
        <v>2</v>
      </c>
      <c r="D94" t="s" s="29">
        <v>86</v>
      </c>
      <c r="E94" t="s" s="47">
        <v>513</v>
      </c>
    </row>
    <row r="95" ht="15.75" customHeight="1">
      <c r="A95" t="s" s="47">
        <v>498</v>
      </c>
      <c r="B95" t="s" s="47">
        <v>923</v>
      </c>
      <c r="C95" s="33">
        <v>1</v>
      </c>
      <c r="D95" t="s" s="29">
        <v>86</v>
      </c>
      <c r="E95" t="s" s="47">
        <v>512</v>
      </c>
    </row>
    <row r="96" ht="15.75" customHeight="1">
      <c r="A96" t="s" s="47">
        <v>498</v>
      </c>
      <c r="B96" t="s" s="47">
        <v>923</v>
      </c>
      <c r="C96" s="33">
        <v>2</v>
      </c>
      <c r="D96" t="s" s="29">
        <v>86</v>
      </c>
      <c r="E96" t="s" s="47">
        <v>513</v>
      </c>
    </row>
    <row r="97" ht="15.75" customHeight="1">
      <c r="A97" t="s" s="47">
        <v>498</v>
      </c>
      <c r="B97" t="s" s="47">
        <v>923</v>
      </c>
      <c r="C97" s="33">
        <v>3</v>
      </c>
      <c r="D97" t="s" s="29">
        <v>67</v>
      </c>
      <c r="E97" t="s" s="47">
        <v>502</v>
      </c>
    </row>
    <row r="98" ht="15.75" customHeight="1">
      <c r="A98" t="s" s="47">
        <v>534</v>
      </c>
      <c r="B98" t="s" s="47">
        <v>921</v>
      </c>
      <c r="C98" s="33">
        <v>1</v>
      </c>
      <c r="D98" t="s" s="29">
        <v>86</v>
      </c>
      <c r="E98" t="s" s="47">
        <v>549</v>
      </c>
    </row>
    <row r="99" ht="15.75" customHeight="1">
      <c r="A99" t="s" s="47">
        <v>534</v>
      </c>
      <c r="B99" t="s" s="47">
        <v>921</v>
      </c>
      <c r="C99" s="33">
        <v>2</v>
      </c>
      <c r="D99" t="s" s="29">
        <v>100</v>
      </c>
      <c r="E99" t="s" s="47">
        <v>562</v>
      </c>
    </row>
    <row r="100" ht="15.75" customHeight="1">
      <c r="A100" t="s" s="47">
        <v>534</v>
      </c>
      <c r="B100" t="s" s="47">
        <v>921</v>
      </c>
      <c r="C100" s="33">
        <v>3</v>
      </c>
      <c r="D100" t="s" s="29">
        <v>100</v>
      </c>
      <c r="E100" t="s" s="47">
        <v>564</v>
      </c>
    </row>
    <row r="101" ht="15.75" customHeight="1">
      <c r="A101" t="s" s="47">
        <v>534</v>
      </c>
      <c r="B101" t="s" s="47">
        <v>54</v>
      </c>
      <c r="C101" s="33">
        <v>1</v>
      </c>
      <c r="D101" t="s" s="29">
        <v>86</v>
      </c>
      <c r="E101" t="s" s="47">
        <v>556</v>
      </c>
    </row>
    <row r="102" ht="15.75" customHeight="1">
      <c r="A102" t="s" s="47">
        <v>534</v>
      </c>
      <c r="B102" t="s" s="47">
        <v>54</v>
      </c>
      <c r="C102" s="33">
        <v>2</v>
      </c>
      <c r="D102" t="s" s="29">
        <v>86</v>
      </c>
      <c r="E102" t="s" s="47">
        <v>549</v>
      </c>
    </row>
    <row r="103" ht="15.75" customHeight="1">
      <c r="A103" t="s" s="47">
        <v>534</v>
      </c>
      <c r="B103" t="s" s="47">
        <v>923</v>
      </c>
      <c r="C103" s="33">
        <v>1</v>
      </c>
      <c r="D103" t="s" s="29">
        <v>86</v>
      </c>
      <c r="E103" t="s" s="47">
        <v>549</v>
      </c>
    </row>
    <row r="104" ht="15.75" customHeight="1">
      <c r="A104" t="s" s="47">
        <v>534</v>
      </c>
      <c r="B104" t="s" s="47">
        <v>923</v>
      </c>
      <c r="C104" s="33">
        <v>2</v>
      </c>
      <c r="D104" t="s" s="29">
        <v>86</v>
      </c>
      <c r="E104" t="s" s="47">
        <v>556</v>
      </c>
    </row>
    <row r="105" ht="15.75" customHeight="1">
      <c r="A105" t="s" s="47">
        <v>534</v>
      </c>
      <c r="B105" t="s" s="47">
        <v>923</v>
      </c>
      <c r="C105" s="33">
        <v>3</v>
      </c>
      <c r="D105" t="s" s="29">
        <v>86</v>
      </c>
      <c r="E105" t="s" s="47">
        <v>550</v>
      </c>
    </row>
    <row r="106" ht="15.75" customHeight="1">
      <c r="A106" t="s" s="47">
        <v>568</v>
      </c>
      <c r="B106" t="s" s="47">
        <v>921</v>
      </c>
      <c r="C106" s="33">
        <v>1</v>
      </c>
      <c r="D106" t="s" s="29">
        <v>86</v>
      </c>
      <c r="E106" t="s" s="47">
        <v>587</v>
      </c>
    </row>
    <row r="107" ht="15.75" customHeight="1">
      <c r="A107" t="s" s="47">
        <v>568</v>
      </c>
      <c r="B107" t="s" s="47">
        <v>921</v>
      </c>
      <c r="C107" s="33">
        <v>2</v>
      </c>
      <c r="D107" t="s" s="29">
        <v>100</v>
      </c>
      <c r="E107" t="s" s="47">
        <v>595</v>
      </c>
    </row>
    <row r="108" ht="15.75" customHeight="1">
      <c r="A108" t="s" s="47">
        <v>568</v>
      </c>
      <c r="B108" t="s" s="47">
        <v>54</v>
      </c>
      <c r="C108" s="33">
        <v>1</v>
      </c>
      <c r="D108" t="s" s="29">
        <v>86</v>
      </c>
      <c r="E108" t="s" s="47">
        <v>587</v>
      </c>
    </row>
    <row r="109" ht="15.75" customHeight="1">
      <c r="A109" t="s" s="47">
        <v>568</v>
      </c>
      <c r="B109" t="s" s="47">
        <v>54</v>
      </c>
      <c r="C109" s="33">
        <v>2</v>
      </c>
      <c r="D109" t="s" s="29">
        <v>86</v>
      </c>
      <c r="E109" t="s" s="47">
        <v>588</v>
      </c>
    </row>
    <row r="110" ht="15.75" customHeight="1">
      <c r="A110" t="s" s="47">
        <v>568</v>
      </c>
      <c r="B110" t="s" s="47">
        <v>923</v>
      </c>
      <c r="C110" s="33">
        <v>1</v>
      </c>
      <c r="D110" t="s" s="29">
        <v>86</v>
      </c>
      <c r="E110" t="s" s="47">
        <v>587</v>
      </c>
    </row>
    <row r="111" ht="15.75" customHeight="1">
      <c r="A111" t="s" s="47">
        <v>568</v>
      </c>
      <c r="B111" t="s" s="47">
        <v>923</v>
      </c>
      <c r="C111" s="33">
        <v>2</v>
      </c>
      <c r="D111" t="s" s="29">
        <v>86</v>
      </c>
      <c r="E111" t="s" s="47">
        <v>588</v>
      </c>
    </row>
    <row r="112" ht="15.75" customHeight="1">
      <c r="A112" t="s" s="47">
        <v>568</v>
      </c>
      <c r="B112" t="s" s="47">
        <v>923</v>
      </c>
      <c r="C112" s="33">
        <v>3</v>
      </c>
      <c r="D112" t="s" s="29">
        <v>100</v>
      </c>
      <c r="E112" t="s" s="47">
        <v>599</v>
      </c>
    </row>
    <row r="113" ht="15.75" customHeight="1">
      <c r="A113" t="s" s="47">
        <v>602</v>
      </c>
      <c r="B113" t="s" s="47">
        <v>921</v>
      </c>
      <c r="C113" s="33">
        <v>1</v>
      </c>
      <c r="D113" t="s" s="29">
        <v>67</v>
      </c>
      <c r="E113" t="s" s="47">
        <v>611</v>
      </c>
    </row>
    <row r="114" ht="15.75" customHeight="1">
      <c r="A114" t="s" s="47">
        <v>602</v>
      </c>
      <c r="B114" t="s" s="47">
        <v>921</v>
      </c>
      <c r="C114" s="33">
        <v>2</v>
      </c>
      <c r="D114" t="s" s="29">
        <v>86</v>
      </c>
      <c r="E114" t="s" s="47">
        <v>618</v>
      </c>
    </row>
    <row r="115" ht="15.75" customHeight="1">
      <c r="A115" t="s" s="47">
        <v>602</v>
      </c>
      <c r="B115" t="s" s="47">
        <v>921</v>
      </c>
      <c r="C115" s="33">
        <v>3</v>
      </c>
      <c r="D115" t="s" s="29">
        <v>100</v>
      </c>
      <c r="E115" t="s" s="47">
        <v>631</v>
      </c>
    </row>
    <row r="116" ht="15.75" customHeight="1">
      <c r="A116" t="s" s="47">
        <v>602</v>
      </c>
      <c r="B116" t="s" s="47">
        <v>54</v>
      </c>
      <c r="C116" s="33">
        <v>1</v>
      </c>
      <c r="D116" t="s" s="29">
        <v>86</v>
      </c>
      <c r="E116" t="s" s="47">
        <v>618</v>
      </c>
    </row>
    <row r="117" ht="15.75" customHeight="1">
      <c r="A117" t="s" s="47">
        <v>602</v>
      </c>
      <c r="B117" t="s" s="47">
        <v>54</v>
      </c>
      <c r="C117" s="33">
        <v>2</v>
      </c>
      <c r="D117" t="s" s="29">
        <v>86</v>
      </c>
      <c r="E117" t="s" s="47">
        <v>623</v>
      </c>
    </row>
    <row r="118" ht="15.75" customHeight="1">
      <c r="A118" t="s" s="47">
        <v>602</v>
      </c>
      <c r="B118" t="s" s="47">
        <v>923</v>
      </c>
      <c r="C118" s="33">
        <v>1</v>
      </c>
      <c r="D118" t="s" s="29">
        <v>86</v>
      </c>
      <c r="E118" t="s" s="47">
        <v>618</v>
      </c>
    </row>
    <row r="119" ht="15.75" customHeight="1">
      <c r="A119" t="s" s="47">
        <v>602</v>
      </c>
      <c r="B119" t="s" s="47">
        <v>923</v>
      </c>
      <c r="C119" s="33">
        <v>2</v>
      </c>
      <c r="D119" t="s" s="29">
        <v>86</v>
      </c>
      <c r="E119" t="s" s="47">
        <v>623</v>
      </c>
    </row>
    <row r="120" ht="15.75" customHeight="1">
      <c r="A120" t="s" s="47">
        <v>602</v>
      </c>
      <c r="B120" t="s" s="47">
        <v>923</v>
      </c>
      <c r="C120" s="33">
        <v>3</v>
      </c>
      <c r="D120" t="s" s="29">
        <v>67</v>
      </c>
      <c r="E120" t="s" s="47">
        <v>611</v>
      </c>
    </row>
    <row r="121" ht="15.75" customHeight="1">
      <c r="A121" t="s" s="47">
        <v>641</v>
      </c>
      <c r="B121" t="s" s="47">
        <v>921</v>
      </c>
      <c r="C121" s="33">
        <v>1</v>
      </c>
      <c r="D121" t="s" s="29">
        <v>100</v>
      </c>
      <c r="E121" t="s" s="47">
        <v>665</v>
      </c>
    </row>
    <row r="122" ht="15.75" customHeight="1">
      <c r="A122" t="s" s="47">
        <v>641</v>
      </c>
      <c r="B122" t="s" s="47">
        <v>921</v>
      </c>
      <c r="C122" s="33">
        <v>2</v>
      </c>
      <c r="D122" t="s" s="29">
        <v>100</v>
      </c>
      <c r="E122" t="s" s="47">
        <v>671</v>
      </c>
    </row>
    <row r="123" ht="15.75" customHeight="1">
      <c r="A123" t="s" s="47">
        <v>641</v>
      </c>
      <c r="B123" t="s" s="47">
        <v>921</v>
      </c>
      <c r="C123" s="33">
        <v>3</v>
      </c>
      <c r="D123" t="s" s="29">
        <v>100</v>
      </c>
      <c r="E123" t="s" s="47">
        <v>667</v>
      </c>
    </row>
    <row r="124" ht="15.75" customHeight="1">
      <c r="A124" t="s" s="47">
        <v>641</v>
      </c>
      <c r="B124" t="s" s="47">
        <v>54</v>
      </c>
      <c r="C124" s="33">
        <v>1</v>
      </c>
      <c r="D124" t="s" s="29">
        <v>100</v>
      </c>
      <c r="E124" t="s" s="47">
        <v>671</v>
      </c>
    </row>
    <row r="125" ht="15.75" customHeight="1">
      <c r="A125" t="s" s="47">
        <v>641</v>
      </c>
      <c r="B125" t="s" s="47">
        <v>54</v>
      </c>
      <c r="C125" s="33">
        <v>2</v>
      </c>
      <c r="D125" t="s" s="29">
        <v>100</v>
      </c>
      <c r="E125" t="s" s="47">
        <v>667</v>
      </c>
    </row>
    <row r="126" ht="15.75" customHeight="1">
      <c r="A126" t="s" s="47">
        <v>641</v>
      </c>
      <c r="B126" t="s" s="47">
        <v>923</v>
      </c>
      <c r="C126" s="33">
        <v>1</v>
      </c>
      <c r="D126" t="s" s="29">
        <v>100</v>
      </c>
      <c r="E126" t="s" s="47">
        <v>671</v>
      </c>
    </row>
    <row r="127" ht="15.75" customHeight="1">
      <c r="A127" t="s" s="47">
        <v>641</v>
      </c>
      <c r="B127" t="s" s="47">
        <v>923</v>
      </c>
      <c r="C127" s="33">
        <v>2</v>
      </c>
      <c r="D127" t="s" s="29">
        <v>100</v>
      </c>
      <c r="E127" t="s" s="47">
        <v>667</v>
      </c>
    </row>
    <row r="128" ht="15.75" customHeight="1">
      <c r="A128" t="s" s="47">
        <v>641</v>
      </c>
      <c r="B128" t="s" s="47">
        <v>923</v>
      </c>
      <c r="C128" s="33">
        <v>3</v>
      </c>
      <c r="D128" t="s" s="29">
        <v>67</v>
      </c>
      <c r="E128" t="s" s="47">
        <v>647</v>
      </c>
    </row>
    <row r="129" ht="15.75" customHeight="1">
      <c r="A129" t="s" s="47">
        <v>675</v>
      </c>
      <c r="B129" t="s" s="47">
        <v>921</v>
      </c>
      <c r="C129" s="33">
        <v>1</v>
      </c>
      <c r="D129" t="s" s="29">
        <v>100</v>
      </c>
      <c r="E129" t="s" s="47">
        <v>707</v>
      </c>
    </row>
    <row r="130" ht="15.75" customHeight="1">
      <c r="A130" t="s" s="47">
        <v>675</v>
      </c>
      <c r="B130" t="s" s="47">
        <v>921</v>
      </c>
      <c r="C130" s="33">
        <v>2</v>
      </c>
      <c r="D130" t="s" s="29">
        <v>100</v>
      </c>
      <c r="E130" t="s" s="47">
        <v>714</v>
      </c>
    </row>
    <row r="131" ht="15.75" customHeight="1">
      <c r="A131" t="s" s="47">
        <v>675</v>
      </c>
      <c r="B131" t="s" s="47">
        <v>921</v>
      </c>
      <c r="C131" s="33">
        <v>3</v>
      </c>
      <c r="D131" t="s" s="29">
        <v>100</v>
      </c>
      <c r="E131" t="s" s="47">
        <v>709</v>
      </c>
    </row>
    <row r="132" ht="15.75" customHeight="1">
      <c r="A132" t="s" s="47">
        <v>675</v>
      </c>
      <c r="B132" t="s" s="47">
        <v>54</v>
      </c>
      <c r="C132" s="33">
        <v>1</v>
      </c>
      <c r="D132" t="s" s="29">
        <v>100</v>
      </c>
      <c r="E132" t="s" s="47">
        <v>707</v>
      </c>
    </row>
    <row r="133" ht="15.75" customHeight="1">
      <c r="A133" t="s" s="47">
        <v>675</v>
      </c>
      <c r="B133" t="s" s="47">
        <v>54</v>
      </c>
      <c r="C133" s="33">
        <v>2</v>
      </c>
      <c r="D133" t="s" s="29">
        <v>100</v>
      </c>
      <c r="E133" t="s" s="47">
        <v>709</v>
      </c>
    </row>
    <row r="134" ht="15.75" customHeight="1">
      <c r="A134" t="s" s="47">
        <v>675</v>
      </c>
      <c r="B134" t="s" s="47">
        <v>923</v>
      </c>
      <c r="C134" s="33">
        <v>1</v>
      </c>
      <c r="D134" t="s" s="29">
        <v>100</v>
      </c>
      <c r="E134" t="s" s="47">
        <v>707</v>
      </c>
    </row>
    <row r="135" ht="15.75" customHeight="1">
      <c r="A135" t="s" s="47">
        <v>675</v>
      </c>
      <c r="B135" t="s" s="47">
        <v>923</v>
      </c>
      <c r="C135" s="33">
        <v>2</v>
      </c>
      <c r="D135" t="s" s="29">
        <v>100</v>
      </c>
      <c r="E135" t="s" s="47">
        <v>709</v>
      </c>
    </row>
    <row r="136" ht="15.75" customHeight="1">
      <c r="A136" t="s" s="47">
        <v>675</v>
      </c>
      <c r="B136" t="s" s="47">
        <v>923</v>
      </c>
      <c r="C136" s="33">
        <v>3</v>
      </c>
      <c r="D136" t="s" s="29">
        <v>67</v>
      </c>
      <c r="E136" t="s" s="47">
        <v>689</v>
      </c>
    </row>
    <row r="137" ht="15.75" customHeight="1">
      <c r="A137" t="s" s="47">
        <v>717</v>
      </c>
      <c r="B137" t="s" s="47">
        <v>921</v>
      </c>
      <c r="C137" s="33">
        <v>1</v>
      </c>
      <c r="D137" t="s" s="29">
        <v>86</v>
      </c>
      <c r="E137" t="s" s="47">
        <v>730</v>
      </c>
    </row>
    <row r="138" ht="15.75" customHeight="1">
      <c r="A138" t="s" s="47">
        <v>717</v>
      </c>
      <c r="B138" t="s" s="47">
        <v>921</v>
      </c>
      <c r="C138" s="33">
        <v>2</v>
      </c>
      <c r="D138" t="s" s="29">
        <v>100</v>
      </c>
      <c r="E138" t="s" s="47">
        <v>752</v>
      </c>
    </row>
    <row r="139" ht="15.75" customHeight="1">
      <c r="A139" t="s" s="47">
        <v>717</v>
      </c>
      <c r="B139" t="s" s="47">
        <v>921</v>
      </c>
      <c r="C139" s="33">
        <v>3</v>
      </c>
      <c r="D139" t="s" s="29">
        <v>100</v>
      </c>
      <c r="E139" t="s" s="47">
        <v>751</v>
      </c>
    </row>
    <row r="140" ht="15.75" customHeight="1">
      <c r="A140" t="s" s="47">
        <v>717</v>
      </c>
      <c r="B140" t="s" s="47">
        <v>54</v>
      </c>
      <c r="C140" s="33">
        <v>1</v>
      </c>
      <c r="D140" t="s" s="29">
        <v>86</v>
      </c>
      <c r="E140" t="s" s="47">
        <v>730</v>
      </c>
    </row>
    <row r="141" ht="15.75" customHeight="1">
      <c r="A141" t="s" s="47">
        <v>717</v>
      </c>
      <c r="B141" t="s" s="47">
        <v>54</v>
      </c>
      <c r="C141" s="33">
        <v>2</v>
      </c>
      <c r="D141" t="s" s="29">
        <v>86</v>
      </c>
      <c r="E141" t="s" s="47">
        <v>738</v>
      </c>
    </row>
    <row r="142" ht="15.75" customHeight="1">
      <c r="A142" t="s" s="47">
        <v>717</v>
      </c>
      <c r="B142" t="s" s="47">
        <v>923</v>
      </c>
      <c r="C142" s="33">
        <v>1</v>
      </c>
      <c r="D142" t="s" s="29">
        <v>86</v>
      </c>
      <c r="E142" t="s" s="47">
        <v>730</v>
      </c>
    </row>
    <row r="143" ht="15.75" customHeight="1">
      <c r="A143" t="s" s="47">
        <v>717</v>
      </c>
      <c r="B143" t="s" s="47">
        <v>923</v>
      </c>
      <c r="C143" s="33">
        <v>2</v>
      </c>
      <c r="D143" t="s" s="29">
        <v>86</v>
      </c>
      <c r="E143" t="s" s="47">
        <v>738</v>
      </c>
    </row>
    <row r="144" ht="15.75" customHeight="1">
      <c r="A144" t="s" s="47">
        <v>717</v>
      </c>
      <c r="B144" t="s" s="47">
        <v>923</v>
      </c>
      <c r="C144" s="33">
        <v>3</v>
      </c>
      <c r="D144" t="s" s="29">
        <v>86</v>
      </c>
      <c r="E144" t="s" s="47">
        <v>746</v>
      </c>
    </row>
    <row r="145" ht="15.75" customHeight="1">
      <c r="A145" t="s" s="47">
        <v>753</v>
      </c>
      <c r="B145" t="s" s="47">
        <v>921</v>
      </c>
      <c r="C145" s="33">
        <v>1</v>
      </c>
      <c r="D145" t="s" s="29">
        <v>100</v>
      </c>
      <c r="E145" t="s" s="47">
        <v>781</v>
      </c>
    </row>
    <row r="146" ht="15.75" customHeight="1">
      <c r="A146" t="s" s="47">
        <v>753</v>
      </c>
      <c r="B146" t="s" s="47">
        <v>921</v>
      </c>
      <c r="C146" s="33">
        <v>2</v>
      </c>
      <c r="D146" t="s" s="29">
        <v>67</v>
      </c>
      <c r="E146" t="s" s="47">
        <v>757</v>
      </c>
    </row>
    <row r="147" ht="15.75" customHeight="1">
      <c r="A147" t="s" s="47">
        <v>753</v>
      </c>
      <c r="B147" t="s" s="47">
        <v>921</v>
      </c>
      <c r="C147" s="33">
        <v>3</v>
      </c>
      <c r="D147" t="s" s="29">
        <v>86</v>
      </c>
      <c r="E147" t="s" s="47">
        <v>768</v>
      </c>
    </row>
    <row r="148" ht="15.75" customHeight="1">
      <c r="A148" t="s" s="47">
        <v>753</v>
      </c>
      <c r="B148" t="s" s="47">
        <v>54</v>
      </c>
      <c r="C148" s="33">
        <v>1</v>
      </c>
      <c r="D148" t="s" s="29">
        <v>86</v>
      </c>
      <c r="E148" t="s" s="47">
        <v>771</v>
      </c>
    </row>
    <row r="149" ht="15.75" customHeight="1">
      <c r="A149" t="s" s="47">
        <v>753</v>
      </c>
      <c r="B149" t="s" s="47">
        <v>54</v>
      </c>
      <c r="C149" s="33">
        <v>2</v>
      </c>
      <c r="D149" t="s" s="29">
        <v>86</v>
      </c>
      <c r="E149" t="s" s="47">
        <v>768</v>
      </c>
    </row>
    <row r="150" ht="15.75" customHeight="1">
      <c r="A150" t="s" s="47">
        <v>753</v>
      </c>
      <c r="B150" t="s" s="47">
        <v>923</v>
      </c>
      <c r="C150" s="33">
        <v>1</v>
      </c>
      <c r="D150" t="s" s="29">
        <v>86</v>
      </c>
      <c r="E150" t="s" s="47">
        <v>771</v>
      </c>
    </row>
    <row r="151" ht="15.75" customHeight="1">
      <c r="A151" t="s" s="47">
        <v>753</v>
      </c>
      <c r="B151" t="s" s="47">
        <v>923</v>
      </c>
      <c r="C151" s="33">
        <v>2</v>
      </c>
      <c r="D151" t="s" s="29">
        <v>86</v>
      </c>
      <c r="E151" t="s" s="47">
        <v>768</v>
      </c>
    </row>
    <row r="152" ht="15.75" customHeight="1">
      <c r="A152" t="s" s="47">
        <v>753</v>
      </c>
      <c r="B152" t="s" s="47">
        <v>923</v>
      </c>
      <c r="C152" s="33">
        <v>3</v>
      </c>
      <c r="D152" t="s" s="29">
        <v>67</v>
      </c>
      <c r="E152" t="s" s="47">
        <v>759</v>
      </c>
    </row>
    <row r="153" ht="15.75" customHeight="1">
      <c r="A153" t="s" s="47">
        <v>786</v>
      </c>
      <c r="B153" t="s" s="47">
        <v>921</v>
      </c>
      <c r="C153" s="33">
        <v>1</v>
      </c>
      <c r="D153" t="s" s="29">
        <v>100</v>
      </c>
      <c r="E153" t="s" s="47">
        <v>816</v>
      </c>
    </row>
    <row r="154" ht="15.75" customHeight="1">
      <c r="A154" t="s" s="47">
        <v>786</v>
      </c>
      <c r="B154" t="s" s="47">
        <v>921</v>
      </c>
      <c r="C154" s="33">
        <v>2</v>
      </c>
      <c r="D154" t="s" s="29">
        <v>100</v>
      </c>
      <c r="E154" t="s" s="47">
        <v>820</v>
      </c>
    </row>
    <row r="155" ht="15.75" customHeight="1">
      <c r="A155" t="s" s="47">
        <v>786</v>
      </c>
      <c r="B155" t="s" s="47">
        <v>921</v>
      </c>
      <c r="C155" s="33">
        <v>3</v>
      </c>
      <c r="D155" t="s" s="29">
        <v>100</v>
      </c>
      <c r="E155" t="s" s="47">
        <v>818</v>
      </c>
    </row>
    <row r="156" ht="15.75" customHeight="1">
      <c r="A156" t="s" s="47">
        <v>786</v>
      </c>
      <c r="B156" t="s" s="47">
        <v>54</v>
      </c>
      <c r="C156" s="33">
        <v>1</v>
      </c>
      <c r="D156" t="s" s="29">
        <v>86</v>
      </c>
      <c r="E156" t="s" s="47">
        <v>807</v>
      </c>
    </row>
    <row r="157" ht="15.75" customHeight="1">
      <c r="A157" t="s" s="47">
        <v>786</v>
      </c>
      <c r="B157" t="s" s="47">
        <v>54</v>
      </c>
      <c r="C157" s="33">
        <v>2</v>
      </c>
      <c r="D157" t="s" s="29">
        <v>86</v>
      </c>
      <c r="E157" t="s" s="47">
        <v>809</v>
      </c>
    </row>
    <row r="158" ht="15.75" customHeight="1">
      <c r="A158" t="s" s="47">
        <v>786</v>
      </c>
      <c r="B158" t="s" s="47">
        <v>923</v>
      </c>
      <c r="C158" s="33">
        <v>1</v>
      </c>
      <c r="D158" t="s" s="29">
        <v>86</v>
      </c>
      <c r="E158" t="s" s="47">
        <v>807</v>
      </c>
    </row>
    <row r="159" ht="15.75" customHeight="1">
      <c r="A159" t="s" s="47">
        <v>786</v>
      </c>
      <c r="B159" t="s" s="47">
        <v>923</v>
      </c>
      <c r="C159" s="33">
        <v>2</v>
      </c>
      <c r="D159" t="s" s="29">
        <v>86</v>
      </c>
      <c r="E159" t="s" s="47">
        <v>812</v>
      </c>
    </row>
    <row r="160" ht="15.75" customHeight="1">
      <c r="A160" t="s" s="47">
        <v>786</v>
      </c>
      <c r="B160" t="s" s="47">
        <v>923</v>
      </c>
      <c r="C160" s="33">
        <v>3</v>
      </c>
      <c r="D160" t="s" s="29">
        <v>86</v>
      </c>
      <c r="E160" t="s" s="47">
        <v>809</v>
      </c>
    </row>
  </sheetData>
  <pageMargins left="0.75" right="0.75" top="1" bottom="1" header="0" footer="0"/>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56"/>
  <sheetViews>
    <sheetView workbookViewId="0" showGridLines="0" defaultGridColor="1"/>
  </sheetViews>
  <sheetFormatPr defaultColWidth="14.5" defaultRowHeight="15" customHeight="1" outlineLevelRow="0" outlineLevelCol="0"/>
  <cols>
    <col min="1" max="1" width="15" style="51" customWidth="1"/>
    <col min="2" max="2" width="16" style="51" customWidth="1"/>
    <col min="3" max="3" width="8" style="51" customWidth="1"/>
    <col min="4" max="4" width="24" style="51" customWidth="1"/>
    <col min="5" max="5" width="70" style="51" customWidth="1"/>
    <col min="6" max="16384" width="14.5" style="51" customWidth="1"/>
  </cols>
  <sheetData>
    <row r="1" ht="30" customHeight="1">
      <c r="A1" t="s" s="24">
        <v>50</v>
      </c>
      <c r="B1" t="s" s="24">
        <v>924</v>
      </c>
      <c r="C1" t="s" s="24">
        <v>27</v>
      </c>
      <c r="D1" t="s" s="24">
        <v>51</v>
      </c>
      <c r="E1" t="s" s="24">
        <v>925</v>
      </c>
    </row>
    <row r="2" ht="13.65" customHeight="1">
      <c r="A2" t="s" s="25">
        <v>61</v>
      </c>
      <c r="B2" t="s" s="52">
        <v>56</v>
      </c>
      <c r="C2" t="s" s="29">
        <v>67</v>
      </c>
      <c r="D2" t="s" s="25">
        <v>71</v>
      </c>
      <c r="E2" t="s" s="34">
        <v>926</v>
      </c>
    </row>
    <row r="3" ht="13.65" customHeight="1">
      <c r="A3" t="s" s="25">
        <v>61</v>
      </c>
      <c r="B3" t="s" s="52">
        <v>56</v>
      </c>
      <c r="C3" t="s" s="29">
        <v>100</v>
      </c>
      <c r="D3" t="s" s="25">
        <v>102</v>
      </c>
      <c r="E3" t="s" s="34">
        <v>927</v>
      </c>
    </row>
    <row r="4" ht="13.65" customHeight="1">
      <c r="A4" t="s" s="25">
        <v>61</v>
      </c>
      <c r="B4" t="s" s="52">
        <v>56</v>
      </c>
      <c r="C4" t="s" s="29">
        <v>100</v>
      </c>
      <c r="D4" t="s" s="25">
        <v>102</v>
      </c>
      <c r="E4" t="s" s="34">
        <v>928</v>
      </c>
    </row>
    <row r="5" ht="13.65" customHeight="1">
      <c r="A5" t="s" s="25">
        <v>61</v>
      </c>
      <c r="B5" t="s" s="52">
        <v>56</v>
      </c>
      <c r="C5" t="s" s="29">
        <v>100</v>
      </c>
      <c r="D5" t="s" s="25">
        <v>102</v>
      </c>
      <c r="E5" t="s" s="34">
        <v>929</v>
      </c>
    </row>
    <row r="6" ht="13.65" customHeight="1">
      <c r="A6" t="s" s="25">
        <v>61</v>
      </c>
      <c r="B6" t="s" s="53">
        <v>57</v>
      </c>
      <c r="C6" t="s" s="29">
        <v>86</v>
      </c>
      <c r="D6" t="s" s="25">
        <v>88</v>
      </c>
      <c r="E6" t="s" s="34">
        <v>930</v>
      </c>
    </row>
    <row r="7" ht="13.65" customHeight="1">
      <c r="A7" t="s" s="25">
        <v>61</v>
      </c>
      <c r="B7" t="s" s="53">
        <v>57</v>
      </c>
      <c r="C7" t="s" s="29">
        <v>67</v>
      </c>
      <c r="D7" t="s" s="25">
        <v>84</v>
      </c>
      <c r="E7" t="s" s="34">
        <v>931</v>
      </c>
    </row>
    <row r="8" ht="13.65" customHeight="1">
      <c r="A8" t="s" s="25">
        <v>61</v>
      </c>
      <c r="B8" t="s" s="54">
        <v>58</v>
      </c>
      <c r="C8" t="s" s="29">
        <v>86</v>
      </c>
      <c r="D8" t="s" s="25">
        <v>95</v>
      </c>
      <c r="E8" t="s" s="34">
        <v>932</v>
      </c>
    </row>
    <row r="9" ht="13.65" customHeight="1">
      <c r="A9" t="s" s="25">
        <v>61</v>
      </c>
      <c r="B9" t="s" s="55">
        <v>59</v>
      </c>
      <c r="C9" t="s" s="29">
        <v>67</v>
      </c>
      <c r="D9" t="s" s="25">
        <v>68</v>
      </c>
      <c r="E9" t="s" s="34">
        <v>933</v>
      </c>
    </row>
    <row r="10" ht="13.65" customHeight="1">
      <c r="A10" t="s" s="25">
        <v>109</v>
      </c>
      <c r="B10" t="s" s="52">
        <v>56</v>
      </c>
      <c r="C10" t="s" s="29">
        <v>86</v>
      </c>
      <c r="D10" t="s" s="25">
        <v>128</v>
      </c>
      <c r="E10" t="s" s="34">
        <v>934</v>
      </c>
    </row>
    <row r="11" ht="13.65" customHeight="1">
      <c r="A11" t="s" s="25">
        <v>109</v>
      </c>
      <c r="B11" t="s" s="52">
        <v>56</v>
      </c>
      <c r="C11" t="s" s="29">
        <v>86</v>
      </c>
      <c r="D11" t="s" s="25">
        <v>128</v>
      </c>
      <c r="E11" t="s" s="34">
        <v>935</v>
      </c>
    </row>
    <row r="12" ht="13.65" customHeight="1">
      <c r="A12" t="s" s="25">
        <v>109</v>
      </c>
      <c r="B12" t="s" s="52">
        <v>56</v>
      </c>
      <c r="C12" t="s" s="29">
        <v>86</v>
      </c>
      <c r="D12" t="s" s="25">
        <v>124</v>
      </c>
      <c r="E12" t="s" s="34">
        <v>936</v>
      </c>
    </row>
    <row r="13" ht="13.65" customHeight="1">
      <c r="A13" t="s" s="25">
        <v>109</v>
      </c>
      <c r="B13" t="s" s="52">
        <v>56</v>
      </c>
      <c r="C13" t="s" s="29">
        <v>86</v>
      </c>
      <c r="D13" t="s" s="25">
        <v>124</v>
      </c>
      <c r="E13" t="s" s="34">
        <v>937</v>
      </c>
    </row>
    <row r="14" ht="13.65" customHeight="1">
      <c r="A14" t="s" s="25">
        <v>109</v>
      </c>
      <c r="B14" t="s" s="53">
        <v>57</v>
      </c>
      <c r="C14" s="30"/>
      <c r="D14" s="56"/>
      <c r="E14" t="s" s="34">
        <v>938</v>
      </c>
    </row>
    <row r="15" ht="13.65" customHeight="1">
      <c r="A15" t="s" s="25">
        <v>109</v>
      </c>
      <c r="B15" t="s" s="53">
        <v>57</v>
      </c>
      <c r="C15" t="s" s="29">
        <v>67</v>
      </c>
      <c r="D15" t="s" s="25">
        <v>402</v>
      </c>
      <c r="E15" t="s" s="34">
        <v>939</v>
      </c>
    </row>
    <row r="16" ht="13.65" customHeight="1">
      <c r="A16" t="s" s="25">
        <v>109</v>
      </c>
      <c r="B16" t="s" s="54">
        <v>58</v>
      </c>
      <c r="C16" t="s" s="29">
        <v>86</v>
      </c>
      <c r="D16" t="s" s="25">
        <v>130</v>
      </c>
      <c r="E16" t="s" s="34">
        <v>940</v>
      </c>
    </row>
    <row r="17" ht="13.65" customHeight="1">
      <c r="A17" t="s" s="25">
        <v>109</v>
      </c>
      <c r="B17" t="s" s="55">
        <v>59</v>
      </c>
      <c r="C17" t="s" s="29">
        <v>86</v>
      </c>
      <c r="D17" t="s" s="25">
        <v>701</v>
      </c>
      <c r="E17" t="s" s="34">
        <v>941</v>
      </c>
    </row>
    <row r="18" ht="13.65" customHeight="1">
      <c r="A18" t="s" s="25">
        <v>145</v>
      </c>
      <c r="B18" t="s" s="52">
        <v>56</v>
      </c>
      <c r="C18" t="s" s="29">
        <v>67</v>
      </c>
      <c r="D18" t="s" s="25">
        <v>151</v>
      </c>
      <c r="E18" t="s" s="34">
        <v>942</v>
      </c>
    </row>
    <row r="19" ht="13.65" customHeight="1">
      <c r="A19" t="s" s="25">
        <v>145</v>
      </c>
      <c r="B19" t="s" s="52">
        <v>56</v>
      </c>
      <c r="C19" t="s" s="29">
        <v>67</v>
      </c>
      <c r="D19" t="s" s="25">
        <v>151</v>
      </c>
      <c r="E19" t="s" s="34">
        <v>943</v>
      </c>
    </row>
    <row r="20" ht="13.65" customHeight="1">
      <c r="A20" t="s" s="25">
        <v>145</v>
      </c>
      <c r="B20" t="s" s="52">
        <v>56</v>
      </c>
      <c r="C20" t="s" s="29">
        <v>86</v>
      </c>
      <c r="D20" t="s" s="25">
        <v>163</v>
      </c>
      <c r="E20" t="s" s="34">
        <v>944</v>
      </c>
    </row>
    <row r="21" ht="15.75" customHeight="1">
      <c r="A21" t="s" s="25">
        <v>145</v>
      </c>
      <c r="B21" t="s" s="52">
        <v>56</v>
      </c>
      <c r="C21" t="s" s="29">
        <v>86</v>
      </c>
      <c r="D21" t="s" s="25">
        <v>163</v>
      </c>
      <c r="E21" t="s" s="34">
        <v>945</v>
      </c>
    </row>
    <row r="22" ht="15.75" customHeight="1">
      <c r="A22" t="s" s="25">
        <v>145</v>
      </c>
      <c r="B22" t="s" s="52">
        <v>56</v>
      </c>
      <c r="C22" t="s" s="29">
        <v>86</v>
      </c>
      <c r="D22" t="s" s="25">
        <v>163</v>
      </c>
      <c r="E22" t="s" s="34">
        <v>946</v>
      </c>
    </row>
    <row r="23" ht="15.75" customHeight="1">
      <c r="A23" t="s" s="25">
        <v>145</v>
      </c>
      <c r="B23" t="s" s="53">
        <v>57</v>
      </c>
      <c r="C23" t="s" s="29">
        <v>67</v>
      </c>
      <c r="D23" t="s" s="25">
        <v>156</v>
      </c>
      <c r="E23" t="s" s="34">
        <v>947</v>
      </c>
    </row>
    <row r="24" ht="15.75" customHeight="1">
      <c r="A24" t="s" s="25">
        <v>145</v>
      </c>
      <c r="B24" t="s" s="54">
        <v>58</v>
      </c>
      <c r="C24" t="s" s="29">
        <v>86</v>
      </c>
      <c r="D24" t="s" s="25">
        <v>165</v>
      </c>
      <c r="E24" t="s" s="34">
        <v>948</v>
      </c>
    </row>
    <row r="25" ht="15.75" customHeight="1">
      <c r="A25" t="s" s="25">
        <v>145</v>
      </c>
      <c r="B25" t="s" s="55">
        <v>59</v>
      </c>
      <c r="C25" t="s" s="29">
        <v>100</v>
      </c>
      <c r="D25" t="s" s="25">
        <v>178</v>
      </c>
      <c r="E25" t="s" s="34">
        <v>949</v>
      </c>
    </row>
    <row r="26" ht="15.75" customHeight="1">
      <c r="A26" t="s" s="25">
        <v>185</v>
      </c>
      <c r="B26" t="s" s="52">
        <v>56</v>
      </c>
      <c r="C26" t="s" s="29">
        <v>86</v>
      </c>
      <c r="D26" t="s" s="25">
        <v>206</v>
      </c>
      <c r="E26" t="s" s="34">
        <v>950</v>
      </c>
    </row>
    <row r="27" ht="15.75" customHeight="1">
      <c r="A27" t="s" s="25">
        <v>185</v>
      </c>
      <c r="B27" t="s" s="52">
        <v>56</v>
      </c>
      <c r="C27" t="s" s="29">
        <v>100</v>
      </c>
      <c r="D27" t="s" s="25">
        <v>222</v>
      </c>
      <c r="E27" t="s" s="34">
        <v>951</v>
      </c>
    </row>
    <row r="28" ht="15.75" customHeight="1">
      <c r="A28" t="s" s="25">
        <v>185</v>
      </c>
      <c r="B28" t="s" s="52">
        <v>56</v>
      </c>
      <c r="C28" t="s" s="29">
        <v>100</v>
      </c>
      <c r="D28" t="s" s="25">
        <v>222</v>
      </c>
      <c r="E28" t="s" s="34">
        <v>952</v>
      </c>
    </row>
    <row r="29" ht="15.75" customHeight="1">
      <c r="A29" t="s" s="25">
        <v>185</v>
      </c>
      <c r="B29" t="s" s="53">
        <v>57</v>
      </c>
      <c r="C29" t="s" s="29">
        <v>100</v>
      </c>
      <c r="D29" t="s" s="25">
        <v>229</v>
      </c>
      <c r="E29" t="s" s="34">
        <v>953</v>
      </c>
    </row>
    <row r="30" ht="15.75" customHeight="1">
      <c r="A30" t="s" s="25">
        <v>185</v>
      </c>
      <c r="B30" t="s" s="53">
        <v>57</v>
      </c>
      <c r="C30" t="s" s="29">
        <v>67</v>
      </c>
      <c r="D30" t="s" s="25">
        <v>200</v>
      </c>
      <c r="E30" t="s" s="34">
        <v>954</v>
      </c>
    </row>
    <row r="31" ht="15.75" customHeight="1">
      <c r="A31" t="s" s="25">
        <v>185</v>
      </c>
      <c r="B31" t="s" s="54">
        <v>58</v>
      </c>
      <c r="C31" t="s" s="29">
        <v>100</v>
      </c>
      <c r="D31" t="s" s="25">
        <v>224</v>
      </c>
      <c r="E31" t="s" s="34">
        <v>955</v>
      </c>
    </row>
    <row r="32" ht="15.75" customHeight="1">
      <c r="A32" t="s" s="25">
        <v>185</v>
      </c>
      <c r="B32" t="s" s="55">
        <v>59</v>
      </c>
      <c r="C32" t="s" s="29">
        <v>86</v>
      </c>
      <c r="D32" t="s" s="25">
        <v>213</v>
      </c>
      <c r="E32" t="s" s="34">
        <v>956</v>
      </c>
    </row>
    <row r="33" ht="15.75" customHeight="1">
      <c r="A33" t="s" s="25">
        <v>231</v>
      </c>
      <c r="B33" t="s" s="52">
        <v>56</v>
      </c>
      <c r="C33" t="s" s="29">
        <v>67</v>
      </c>
      <c r="D33" t="s" s="25">
        <v>236</v>
      </c>
      <c r="E33" t="s" s="34">
        <v>957</v>
      </c>
    </row>
    <row r="34" ht="15.75" customHeight="1">
      <c r="A34" t="s" s="25">
        <v>231</v>
      </c>
      <c r="B34" t="s" s="52">
        <v>56</v>
      </c>
      <c r="C34" t="s" s="29">
        <v>67</v>
      </c>
      <c r="D34" t="s" s="25">
        <v>236</v>
      </c>
      <c r="E34" t="s" s="34">
        <v>958</v>
      </c>
    </row>
    <row r="35" ht="15.75" customHeight="1">
      <c r="A35" t="s" s="25">
        <v>231</v>
      </c>
      <c r="B35" t="s" s="52">
        <v>56</v>
      </c>
      <c r="C35" t="s" s="29">
        <v>86</v>
      </c>
      <c r="D35" t="s" s="25">
        <v>250</v>
      </c>
      <c r="E35" t="s" s="34">
        <v>959</v>
      </c>
    </row>
    <row r="36" ht="15.75" customHeight="1">
      <c r="A36" t="s" s="25">
        <v>231</v>
      </c>
      <c r="B36" t="s" s="52">
        <v>56</v>
      </c>
      <c r="C36" t="s" s="29">
        <v>86</v>
      </c>
      <c r="D36" t="s" s="25">
        <v>250</v>
      </c>
      <c r="E36" t="s" s="34">
        <v>960</v>
      </c>
    </row>
    <row r="37" ht="15.75" customHeight="1">
      <c r="A37" t="s" s="25">
        <v>231</v>
      </c>
      <c r="B37" t="s" s="53">
        <v>57</v>
      </c>
      <c r="C37" t="s" s="29">
        <v>86</v>
      </c>
      <c r="D37" t="s" s="25">
        <v>262</v>
      </c>
      <c r="E37" t="s" s="34">
        <v>961</v>
      </c>
    </row>
    <row r="38" ht="15.75" customHeight="1">
      <c r="A38" t="s" s="25">
        <v>231</v>
      </c>
      <c r="B38" t="s" s="53">
        <v>57</v>
      </c>
      <c r="C38" t="s" s="29">
        <v>67</v>
      </c>
      <c r="D38" t="s" s="25">
        <v>246</v>
      </c>
      <c r="E38" t="s" s="34">
        <v>962</v>
      </c>
    </row>
    <row r="39" ht="15.75" customHeight="1">
      <c r="A39" t="s" s="25">
        <v>231</v>
      </c>
      <c r="B39" t="s" s="53">
        <v>57</v>
      </c>
      <c r="C39" t="s" s="29">
        <v>67</v>
      </c>
      <c r="D39" t="s" s="25">
        <v>246</v>
      </c>
      <c r="E39" t="s" s="34">
        <v>963</v>
      </c>
    </row>
    <row r="40" ht="15.75" customHeight="1">
      <c r="A40" t="s" s="25">
        <v>231</v>
      </c>
      <c r="B40" t="s" s="54">
        <v>58</v>
      </c>
      <c r="C40" t="s" s="29">
        <v>86</v>
      </c>
      <c r="D40" t="s" s="25">
        <v>257</v>
      </c>
      <c r="E40" t="s" s="34">
        <v>964</v>
      </c>
    </row>
    <row r="41" ht="15.75" customHeight="1">
      <c r="A41" t="s" s="25">
        <v>231</v>
      </c>
      <c r="B41" t="s" s="55">
        <v>59</v>
      </c>
      <c r="C41" t="s" s="29">
        <v>86</v>
      </c>
      <c r="D41" t="s" s="25">
        <v>260</v>
      </c>
      <c r="E41" t="s" s="34">
        <v>965</v>
      </c>
    </row>
    <row r="42" ht="15.75" customHeight="1">
      <c r="A42" t="s" s="25">
        <v>269</v>
      </c>
      <c r="B42" t="s" s="52">
        <v>56</v>
      </c>
      <c r="C42" t="s" s="29">
        <v>100</v>
      </c>
      <c r="D42" t="s" s="25">
        <v>310</v>
      </c>
      <c r="E42" t="s" s="34">
        <v>966</v>
      </c>
    </row>
    <row r="43" ht="15.75" customHeight="1">
      <c r="A43" t="s" s="25">
        <v>269</v>
      </c>
      <c r="B43" t="s" s="52">
        <v>56</v>
      </c>
      <c r="C43" t="s" s="29">
        <v>100</v>
      </c>
      <c r="D43" t="s" s="25">
        <v>310</v>
      </c>
      <c r="E43" t="s" s="34">
        <v>967</v>
      </c>
    </row>
    <row r="44" ht="15.75" customHeight="1">
      <c r="A44" t="s" s="25">
        <v>269</v>
      </c>
      <c r="B44" t="s" s="52">
        <v>56</v>
      </c>
      <c r="C44" t="s" s="29">
        <v>86</v>
      </c>
      <c r="D44" t="s" s="25">
        <v>290</v>
      </c>
      <c r="E44" t="s" s="34">
        <v>968</v>
      </c>
    </row>
    <row r="45" ht="15.75" customHeight="1">
      <c r="A45" t="s" s="25">
        <v>269</v>
      </c>
      <c r="B45" t="s" s="52">
        <v>56</v>
      </c>
      <c r="C45" t="s" s="29">
        <v>86</v>
      </c>
      <c r="D45" t="s" s="25">
        <v>290</v>
      </c>
      <c r="E45" t="s" s="34">
        <v>969</v>
      </c>
    </row>
    <row r="46" ht="15.75" customHeight="1">
      <c r="A46" t="s" s="25">
        <v>269</v>
      </c>
      <c r="B46" t="s" s="52">
        <v>56</v>
      </c>
      <c r="C46" t="s" s="29">
        <v>86</v>
      </c>
      <c r="D46" t="s" s="25">
        <v>290</v>
      </c>
      <c r="E46" t="s" s="34">
        <v>970</v>
      </c>
    </row>
    <row r="47" ht="15.75" customHeight="1">
      <c r="A47" t="s" s="25">
        <v>269</v>
      </c>
      <c r="B47" t="s" s="53">
        <v>57</v>
      </c>
      <c r="C47" t="s" s="29">
        <v>67</v>
      </c>
      <c r="D47" t="s" s="25">
        <v>281</v>
      </c>
      <c r="E47" t="s" s="34">
        <v>971</v>
      </c>
    </row>
    <row r="48" ht="15.75" customHeight="1">
      <c r="A48" t="s" s="25">
        <v>269</v>
      </c>
      <c r="B48" t="s" s="53">
        <v>57</v>
      </c>
      <c r="C48" t="s" s="29">
        <v>67</v>
      </c>
      <c r="D48" t="s" s="25">
        <v>281</v>
      </c>
      <c r="E48" t="s" s="34">
        <v>972</v>
      </c>
    </row>
    <row r="49" ht="15.75" customHeight="1">
      <c r="A49" t="s" s="25">
        <v>269</v>
      </c>
      <c r="B49" t="s" s="54">
        <v>58</v>
      </c>
      <c r="C49" t="s" s="29">
        <v>86</v>
      </c>
      <c r="D49" t="s" s="25">
        <v>297</v>
      </c>
      <c r="E49" t="s" s="34">
        <v>973</v>
      </c>
    </row>
    <row r="50" ht="15.75" customHeight="1">
      <c r="A50" t="s" s="25">
        <v>269</v>
      </c>
      <c r="B50" t="s" s="55">
        <v>59</v>
      </c>
      <c r="C50" t="s" s="29">
        <v>86</v>
      </c>
      <c r="D50" t="s" s="25">
        <v>307</v>
      </c>
      <c r="E50" t="s" s="34">
        <v>974</v>
      </c>
    </row>
    <row r="51" ht="15.75" customHeight="1">
      <c r="A51" t="s" s="25">
        <v>315</v>
      </c>
      <c r="B51" t="s" s="52">
        <v>56</v>
      </c>
      <c r="C51" t="s" s="29">
        <v>67</v>
      </c>
      <c r="D51" t="s" s="25">
        <v>322</v>
      </c>
      <c r="E51" t="s" s="34">
        <v>975</v>
      </c>
    </row>
    <row r="52" ht="15.75" customHeight="1">
      <c r="A52" t="s" s="25">
        <v>315</v>
      </c>
      <c r="B52" t="s" s="52">
        <v>56</v>
      </c>
      <c r="C52" t="s" s="29">
        <v>67</v>
      </c>
      <c r="D52" t="s" s="25">
        <v>322</v>
      </c>
      <c r="E52" t="s" s="34">
        <v>976</v>
      </c>
    </row>
    <row r="53" ht="15.75" customHeight="1">
      <c r="A53" t="s" s="25">
        <v>315</v>
      </c>
      <c r="B53" t="s" s="52">
        <v>56</v>
      </c>
      <c r="C53" t="s" s="29">
        <v>86</v>
      </c>
      <c r="D53" t="s" s="25">
        <v>337</v>
      </c>
      <c r="E53" t="s" s="34">
        <v>977</v>
      </c>
    </row>
    <row r="54" ht="15.75" customHeight="1">
      <c r="A54" t="s" s="25">
        <v>315</v>
      </c>
      <c r="B54" t="s" s="52">
        <v>56</v>
      </c>
      <c r="C54" t="s" s="29">
        <v>86</v>
      </c>
      <c r="D54" t="s" s="25">
        <v>337</v>
      </c>
      <c r="E54" t="s" s="34">
        <v>978</v>
      </c>
    </row>
    <row r="55" ht="15.75" customHeight="1">
      <c r="A55" t="s" s="25">
        <v>315</v>
      </c>
      <c r="B55" t="s" s="53">
        <v>57</v>
      </c>
      <c r="C55" t="s" s="29">
        <v>67</v>
      </c>
      <c r="D55" t="s" s="25">
        <v>327</v>
      </c>
      <c r="E55" t="s" s="34">
        <v>963</v>
      </c>
    </row>
    <row r="56" ht="15.75" customHeight="1">
      <c r="A56" t="s" s="25">
        <v>315</v>
      </c>
      <c r="B56" t="s" s="54">
        <v>58</v>
      </c>
      <c r="C56" t="s" s="29">
        <v>67</v>
      </c>
      <c r="D56" t="s" s="25">
        <v>319</v>
      </c>
      <c r="E56" t="s" s="34">
        <v>979</v>
      </c>
    </row>
    <row r="57" ht="15.75" customHeight="1">
      <c r="A57" t="s" s="25">
        <v>315</v>
      </c>
      <c r="B57" t="s" s="55">
        <v>59</v>
      </c>
      <c r="C57" t="s" s="29">
        <v>67</v>
      </c>
      <c r="D57" t="s" s="25">
        <v>330</v>
      </c>
      <c r="E57" t="s" s="34">
        <v>980</v>
      </c>
    </row>
    <row r="58" ht="15.75" customHeight="1">
      <c r="A58" t="s" s="25">
        <v>352</v>
      </c>
      <c r="B58" t="s" s="52">
        <v>56</v>
      </c>
      <c r="C58" t="s" s="29">
        <v>100</v>
      </c>
      <c r="D58" t="s" s="25">
        <v>384</v>
      </c>
      <c r="E58" t="s" s="34">
        <v>981</v>
      </c>
    </row>
    <row r="59" ht="15.75" customHeight="1">
      <c r="A59" t="s" s="25">
        <v>352</v>
      </c>
      <c r="B59" t="s" s="52">
        <v>56</v>
      </c>
      <c r="C59" t="s" s="29">
        <v>100</v>
      </c>
      <c r="D59" t="s" s="25">
        <v>384</v>
      </c>
      <c r="E59" t="s" s="34">
        <v>969</v>
      </c>
    </row>
    <row r="60" ht="15.75" customHeight="1">
      <c r="A60" t="s" s="25">
        <v>352</v>
      </c>
      <c r="B60" t="s" s="52">
        <v>56</v>
      </c>
      <c r="C60" t="s" s="29">
        <v>67</v>
      </c>
      <c r="D60" t="s" s="25">
        <v>360</v>
      </c>
      <c r="E60" t="s" s="34">
        <v>982</v>
      </c>
    </row>
    <row r="61" ht="15.75" customHeight="1">
      <c r="A61" t="s" s="25">
        <v>352</v>
      </c>
      <c r="B61" t="s" s="52">
        <v>56</v>
      </c>
      <c r="C61" t="s" s="29">
        <v>67</v>
      </c>
      <c r="D61" t="s" s="25">
        <v>360</v>
      </c>
      <c r="E61" t="s" s="34">
        <v>983</v>
      </c>
    </row>
    <row r="62" ht="15.75" customHeight="1">
      <c r="A62" t="s" s="25">
        <v>352</v>
      </c>
      <c r="B62" t="s" s="53">
        <v>57</v>
      </c>
      <c r="C62" t="s" s="29">
        <v>86</v>
      </c>
      <c r="D62" t="s" s="25">
        <v>457</v>
      </c>
      <c r="E62" t="s" s="34">
        <v>984</v>
      </c>
    </row>
    <row r="63" ht="15.75" customHeight="1">
      <c r="A63" t="s" s="25">
        <v>352</v>
      </c>
      <c r="B63" t="s" s="53">
        <v>57</v>
      </c>
      <c r="C63" t="s" s="29">
        <v>86</v>
      </c>
      <c r="D63" t="s" s="25">
        <v>377</v>
      </c>
      <c r="E63" t="s" s="34">
        <v>985</v>
      </c>
    </row>
    <row r="64" ht="15.75" customHeight="1">
      <c r="A64" t="s" s="25">
        <v>352</v>
      </c>
      <c r="B64" t="s" s="54">
        <v>58</v>
      </c>
      <c r="C64" t="s" s="29">
        <v>86</v>
      </c>
      <c r="D64" t="s" s="25">
        <v>374</v>
      </c>
      <c r="E64" t="s" s="34">
        <v>986</v>
      </c>
    </row>
    <row r="65" ht="15.75" customHeight="1">
      <c r="A65" t="s" s="25">
        <v>352</v>
      </c>
      <c r="B65" t="s" s="54">
        <v>58</v>
      </c>
      <c r="C65" t="s" s="29">
        <v>86</v>
      </c>
      <c r="D65" t="s" s="25">
        <v>374</v>
      </c>
      <c r="E65" t="s" s="34">
        <v>987</v>
      </c>
    </row>
    <row r="66" ht="15.75" customHeight="1">
      <c r="A66" t="s" s="25">
        <v>352</v>
      </c>
      <c r="B66" t="s" s="55">
        <v>59</v>
      </c>
      <c r="C66" t="s" s="29">
        <v>100</v>
      </c>
      <c r="D66" t="s" s="25">
        <v>988</v>
      </c>
      <c r="E66" t="s" s="34">
        <v>989</v>
      </c>
    </row>
    <row r="67" ht="15.75" customHeight="1">
      <c r="A67" t="s" s="25">
        <v>390</v>
      </c>
      <c r="B67" t="s" s="52">
        <v>56</v>
      </c>
      <c r="C67" t="s" s="29">
        <v>100</v>
      </c>
      <c r="D67" t="s" s="25">
        <v>421</v>
      </c>
      <c r="E67" t="s" s="34">
        <v>990</v>
      </c>
    </row>
    <row r="68" ht="15.75" customHeight="1">
      <c r="A68" t="s" s="25">
        <v>390</v>
      </c>
      <c r="B68" t="s" s="52">
        <v>56</v>
      </c>
      <c r="C68" t="s" s="29">
        <v>100</v>
      </c>
      <c r="D68" t="s" s="25">
        <v>421</v>
      </c>
      <c r="E68" t="s" s="34">
        <v>991</v>
      </c>
    </row>
    <row r="69" ht="15.75" customHeight="1">
      <c r="A69" t="s" s="25">
        <v>390</v>
      </c>
      <c r="B69" t="s" s="52">
        <v>56</v>
      </c>
      <c r="C69" t="s" s="29">
        <v>86</v>
      </c>
      <c r="D69" t="s" s="25">
        <v>992</v>
      </c>
      <c r="E69" t="s" s="34">
        <v>993</v>
      </c>
    </row>
    <row r="70" ht="15.75" customHeight="1">
      <c r="A70" t="s" s="25">
        <v>390</v>
      </c>
      <c r="B70" t="s" s="52">
        <v>56</v>
      </c>
      <c r="C70" t="s" s="29">
        <v>86</v>
      </c>
      <c r="D70" t="s" s="25">
        <v>992</v>
      </c>
      <c r="E70" t="s" s="34">
        <v>957</v>
      </c>
    </row>
    <row r="71" ht="15.75" customHeight="1">
      <c r="A71" t="s" s="25">
        <v>390</v>
      </c>
      <c r="B71" t="s" s="53">
        <v>57</v>
      </c>
      <c r="C71" t="s" s="29">
        <v>86</v>
      </c>
      <c r="D71" t="s" s="25">
        <v>415</v>
      </c>
      <c r="E71" t="s" s="34">
        <v>994</v>
      </c>
    </row>
    <row r="72" ht="15.75" customHeight="1">
      <c r="A72" t="s" s="25">
        <v>390</v>
      </c>
      <c r="B72" t="s" s="53">
        <v>57</v>
      </c>
      <c r="C72" t="s" s="29">
        <v>86</v>
      </c>
      <c r="D72" t="s" s="25">
        <v>418</v>
      </c>
      <c r="E72" t="s" s="34">
        <v>995</v>
      </c>
    </row>
    <row r="73" ht="15.75" customHeight="1">
      <c r="A73" t="s" s="25">
        <v>390</v>
      </c>
      <c r="B73" t="s" s="54">
        <v>58</v>
      </c>
      <c r="C73" t="s" s="29">
        <v>67</v>
      </c>
      <c r="D73" t="s" s="25">
        <v>399</v>
      </c>
      <c r="E73" t="s" s="34">
        <v>996</v>
      </c>
    </row>
    <row r="74" ht="15.75" customHeight="1">
      <c r="A74" t="s" s="25">
        <v>390</v>
      </c>
      <c r="B74" t="s" s="55">
        <v>59</v>
      </c>
      <c r="C74" t="s" s="29">
        <v>100</v>
      </c>
      <c r="D74" t="s" s="25">
        <v>425</v>
      </c>
      <c r="E74" t="s" s="34">
        <v>997</v>
      </c>
    </row>
    <row r="75" ht="15.75" customHeight="1">
      <c r="A75" t="s" s="25">
        <v>428</v>
      </c>
      <c r="B75" t="s" s="52">
        <v>56</v>
      </c>
      <c r="C75" t="s" s="29">
        <v>86</v>
      </c>
      <c r="D75" t="s" s="25">
        <v>448</v>
      </c>
      <c r="E75" t="s" s="34">
        <v>998</v>
      </c>
    </row>
    <row r="76" ht="15.75" customHeight="1">
      <c r="A76" t="s" s="25">
        <v>428</v>
      </c>
      <c r="B76" t="s" s="52">
        <v>56</v>
      </c>
      <c r="C76" t="s" s="29">
        <v>86</v>
      </c>
      <c r="D76" t="s" s="25">
        <v>448</v>
      </c>
      <c r="E76" t="s" s="34">
        <v>999</v>
      </c>
    </row>
    <row r="77" ht="15.75" customHeight="1">
      <c r="A77" t="s" s="25">
        <v>428</v>
      </c>
      <c r="B77" t="s" s="52">
        <v>56</v>
      </c>
      <c r="C77" t="s" s="29">
        <v>86</v>
      </c>
      <c r="D77" t="s" s="25">
        <v>450</v>
      </c>
      <c r="E77" t="s" s="34">
        <v>977</v>
      </c>
    </row>
    <row r="78" ht="15.75" customHeight="1">
      <c r="A78" t="s" s="25">
        <v>428</v>
      </c>
      <c r="B78" t="s" s="52">
        <v>56</v>
      </c>
      <c r="C78" t="s" s="29">
        <v>86</v>
      </c>
      <c r="D78" t="s" s="25">
        <v>450</v>
      </c>
      <c r="E78" t="s" s="34">
        <v>1000</v>
      </c>
    </row>
    <row r="79" ht="15.75" customHeight="1">
      <c r="A79" t="s" s="25">
        <v>428</v>
      </c>
      <c r="B79" t="s" s="53">
        <v>57</v>
      </c>
      <c r="C79" t="s" s="29">
        <v>86</v>
      </c>
      <c r="D79" t="s" s="25">
        <v>460</v>
      </c>
      <c r="E79" t="s" s="34">
        <v>1001</v>
      </c>
    </row>
    <row r="80" ht="15.75" customHeight="1">
      <c r="A80" t="s" s="25">
        <v>428</v>
      </c>
      <c r="B80" t="s" s="54">
        <v>58</v>
      </c>
      <c r="C80" t="s" s="29">
        <v>67</v>
      </c>
      <c r="D80" t="s" s="25">
        <v>434</v>
      </c>
      <c r="E80" t="s" s="34">
        <v>1002</v>
      </c>
    </row>
    <row r="81" ht="15.75" customHeight="1">
      <c r="A81" t="s" s="25">
        <v>428</v>
      </c>
      <c r="B81" t="s" s="55">
        <v>59</v>
      </c>
      <c r="C81" t="s" s="29">
        <v>67</v>
      </c>
      <c r="D81" t="s" s="25">
        <v>437</v>
      </c>
      <c r="E81" t="s" s="34">
        <v>1003</v>
      </c>
    </row>
    <row r="82" ht="15.75" customHeight="1">
      <c r="A82" t="s" s="25">
        <v>468</v>
      </c>
      <c r="B82" t="s" s="52">
        <v>56</v>
      </c>
      <c r="C82" t="s" s="29">
        <v>100</v>
      </c>
      <c r="D82" t="s" s="25">
        <v>1004</v>
      </c>
      <c r="E82" t="s" s="34">
        <v>1005</v>
      </c>
    </row>
    <row r="83" ht="15.75" customHeight="1">
      <c r="A83" t="s" s="25">
        <v>468</v>
      </c>
      <c r="B83" t="s" s="52">
        <v>56</v>
      </c>
      <c r="C83" t="s" s="29">
        <v>100</v>
      </c>
      <c r="D83" t="s" s="25">
        <v>1004</v>
      </c>
      <c r="E83" t="s" s="34">
        <v>1006</v>
      </c>
    </row>
    <row r="84" ht="15.75" customHeight="1">
      <c r="A84" t="s" s="25">
        <v>468</v>
      </c>
      <c r="B84" t="s" s="52">
        <v>56</v>
      </c>
      <c r="C84" t="s" s="29">
        <v>86</v>
      </c>
      <c r="D84" t="s" s="25">
        <v>479</v>
      </c>
      <c r="E84" t="s" s="34">
        <v>1007</v>
      </c>
    </row>
    <row r="85" ht="15.75" customHeight="1">
      <c r="A85" t="s" s="25">
        <v>468</v>
      </c>
      <c r="B85" t="s" s="52">
        <v>56</v>
      </c>
      <c r="C85" t="s" s="29">
        <v>86</v>
      </c>
      <c r="D85" t="s" s="25">
        <v>479</v>
      </c>
      <c r="E85" t="s" s="34">
        <v>1008</v>
      </c>
    </row>
    <row r="86" ht="15.75" customHeight="1">
      <c r="A86" t="s" s="25">
        <v>468</v>
      </c>
      <c r="B86" t="s" s="53">
        <v>57</v>
      </c>
      <c r="C86" t="s" s="29">
        <v>86</v>
      </c>
      <c r="D86" t="s" s="25">
        <v>490</v>
      </c>
      <c r="E86" t="s" s="34">
        <v>963</v>
      </c>
    </row>
    <row r="87" ht="15.75" customHeight="1">
      <c r="A87" t="s" s="25">
        <v>468</v>
      </c>
      <c r="B87" t="s" s="54">
        <v>58</v>
      </c>
      <c r="C87" t="s" s="29">
        <v>86</v>
      </c>
      <c r="D87" t="s" s="25">
        <v>484</v>
      </c>
      <c r="E87" t="s" s="34">
        <v>1009</v>
      </c>
    </row>
    <row r="88" ht="15.75" customHeight="1">
      <c r="A88" t="s" s="25">
        <v>468</v>
      </c>
      <c r="B88" t="s" s="55">
        <v>59</v>
      </c>
      <c r="C88" t="s" s="29">
        <v>67</v>
      </c>
      <c r="D88" t="s" s="25">
        <v>472</v>
      </c>
      <c r="E88" t="s" s="34">
        <v>1010</v>
      </c>
    </row>
    <row r="89" ht="15.75" customHeight="1">
      <c r="A89" t="s" s="25">
        <v>498</v>
      </c>
      <c r="B89" t="s" s="52">
        <v>56</v>
      </c>
      <c r="C89" t="s" s="29">
        <v>86</v>
      </c>
      <c r="D89" t="s" s="25">
        <v>513</v>
      </c>
      <c r="E89" t="s" s="34">
        <v>1011</v>
      </c>
    </row>
    <row r="90" ht="15.75" customHeight="1">
      <c r="A90" t="s" s="25">
        <v>498</v>
      </c>
      <c r="B90" t="s" s="52">
        <v>56</v>
      </c>
      <c r="C90" t="s" s="29">
        <v>86</v>
      </c>
      <c r="D90" t="s" s="25">
        <v>513</v>
      </c>
      <c r="E90" t="s" s="34">
        <v>977</v>
      </c>
    </row>
    <row r="91" ht="15.75" customHeight="1">
      <c r="A91" t="s" s="25">
        <v>498</v>
      </c>
      <c r="B91" t="s" s="52">
        <v>56</v>
      </c>
      <c r="C91" t="s" s="29">
        <v>100</v>
      </c>
      <c r="D91" t="s" s="25">
        <v>526</v>
      </c>
      <c r="E91" t="s" s="34">
        <v>1012</v>
      </c>
    </row>
    <row r="92" ht="15.75" customHeight="1">
      <c r="A92" t="s" s="25">
        <v>498</v>
      </c>
      <c r="B92" t="s" s="52">
        <v>56</v>
      </c>
      <c r="C92" t="s" s="29">
        <v>100</v>
      </c>
      <c r="D92" t="s" s="25">
        <v>526</v>
      </c>
      <c r="E92" t="s" s="34">
        <v>1013</v>
      </c>
    </row>
    <row r="93" ht="15.75" customHeight="1">
      <c r="A93" t="s" s="25">
        <v>498</v>
      </c>
      <c r="B93" t="s" s="53">
        <v>57</v>
      </c>
      <c r="C93" t="s" s="29">
        <v>67</v>
      </c>
      <c r="D93" t="s" s="25">
        <v>507</v>
      </c>
      <c r="E93" t="s" s="34">
        <v>1014</v>
      </c>
    </row>
    <row r="94" ht="15.75" customHeight="1">
      <c r="A94" t="s" s="25">
        <v>498</v>
      </c>
      <c r="B94" t="s" s="53">
        <v>57</v>
      </c>
      <c r="C94" t="s" s="29">
        <v>86</v>
      </c>
      <c r="D94" t="s" s="25">
        <v>521</v>
      </c>
      <c r="E94" t="s" s="34">
        <v>1015</v>
      </c>
    </row>
    <row r="95" ht="15.75" customHeight="1">
      <c r="A95" t="s" s="25">
        <v>498</v>
      </c>
      <c r="B95" t="s" s="54">
        <v>58</v>
      </c>
      <c r="C95" t="s" s="29">
        <v>86</v>
      </c>
      <c r="D95" t="s" s="25">
        <v>517</v>
      </c>
      <c r="E95" t="s" s="34">
        <v>1016</v>
      </c>
    </row>
    <row r="96" ht="15.75" customHeight="1">
      <c r="A96" t="s" s="25">
        <v>498</v>
      </c>
      <c r="B96" t="s" s="55">
        <v>59</v>
      </c>
      <c r="C96" t="s" s="29">
        <v>67</v>
      </c>
      <c r="D96" t="s" s="25">
        <v>502</v>
      </c>
      <c r="E96" t="s" s="34">
        <v>1017</v>
      </c>
    </row>
    <row r="97" ht="15.75" customHeight="1">
      <c r="A97" t="s" s="25">
        <v>534</v>
      </c>
      <c r="B97" t="s" s="52">
        <v>56</v>
      </c>
      <c r="C97" t="s" s="29">
        <v>100</v>
      </c>
      <c r="D97" t="s" s="25">
        <v>560</v>
      </c>
      <c r="E97" t="s" s="34">
        <v>968</v>
      </c>
    </row>
    <row r="98" ht="15.75" customHeight="1">
      <c r="A98" t="s" s="25">
        <v>534</v>
      </c>
      <c r="B98" t="s" s="52">
        <v>56</v>
      </c>
      <c r="C98" t="s" s="29">
        <v>100</v>
      </c>
      <c r="D98" t="s" s="25">
        <v>560</v>
      </c>
      <c r="E98" t="s" s="34">
        <v>1018</v>
      </c>
    </row>
    <row r="99" ht="15.75" customHeight="1">
      <c r="A99" t="s" s="25">
        <v>534</v>
      </c>
      <c r="B99" t="s" s="52">
        <v>56</v>
      </c>
      <c r="C99" t="s" s="29">
        <v>100</v>
      </c>
      <c r="D99" t="s" s="25">
        <v>560</v>
      </c>
      <c r="E99" t="s" s="34">
        <v>1019</v>
      </c>
    </row>
    <row r="100" ht="15.75" customHeight="1">
      <c r="A100" t="s" s="25">
        <v>534</v>
      </c>
      <c r="B100" t="s" s="52">
        <v>56</v>
      </c>
      <c r="C100" t="s" s="29">
        <v>67</v>
      </c>
      <c r="D100" t="s" s="25">
        <v>539</v>
      </c>
      <c r="E100" t="s" s="34">
        <v>1020</v>
      </c>
    </row>
    <row r="101" ht="15.75" customHeight="1">
      <c r="A101" t="s" s="25">
        <v>534</v>
      </c>
      <c r="B101" t="s" s="52">
        <v>56</v>
      </c>
      <c r="C101" t="s" s="29">
        <v>67</v>
      </c>
      <c r="D101" t="s" s="25">
        <v>539</v>
      </c>
      <c r="E101" t="s" s="34">
        <v>1021</v>
      </c>
    </row>
    <row r="102" ht="15.75" customHeight="1">
      <c r="A102" t="s" s="25">
        <v>534</v>
      </c>
      <c r="B102" t="s" s="53">
        <v>57</v>
      </c>
      <c r="C102" t="s" s="29">
        <v>86</v>
      </c>
      <c r="D102" t="s" s="25">
        <v>556</v>
      </c>
      <c r="E102" t="s" s="34">
        <v>1022</v>
      </c>
    </row>
    <row r="103" ht="15.75" customHeight="1">
      <c r="A103" t="s" s="25">
        <v>534</v>
      </c>
      <c r="B103" t="s" s="54">
        <v>58</v>
      </c>
      <c r="C103" t="s" s="29">
        <v>62</v>
      </c>
      <c r="D103" t="s" s="25">
        <v>535</v>
      </c>
      <c r="E103" t="s" s="34">
        <v>1023</v>
      </c>
    </row>
    <row r="104" ht="15.75" customHeight="1">
      <c r="A104" t="s" s="25">
        <v>534</v>
      </c>
      <c r="B104" t="s" s="55">
        <v>59</v>
      </c>
      <c r="C104" t="s" s="29">
        <v>67</v>
      </c>
      <c r="D104" t="s" s="25">
        <v>545</v>
      </c>
      <c r="E104" t="s" s="34">
        <v>1024</v>
      </c>
    </row>
    <row r="105" ht="15.75" customHeight="1">
      <c r="A105" t="s" s="25">
        <v>568</v>
      </c>
      <c r="B105" t="s" s="52">
        <v>56</v>
      </c>
      <c r="C105" t="s" s="29">
        <v>100</v>
      </c>
      <c r="D105" t="s" s="25">
        <v>596</v>
      </c>
      <c r="E105" t="s" s="34">
        <v>1025</v>
      </c>
    </row>
    <row r="106" ht="15.75" customHeight="1">
      <c r="A106" t="s" s="25">
        <v>568</v>
      </c>
      <c r="B106" t="s" s="52">
        <v>56</v>
      </c>
      <c r="C106" t="s" s="29">
        <v>100</v>
      </c>
      <c r="D106" t="s" s="25">
        <v>596</v>
      </c>
      <c r="E106" t="s" s="34">
        <v>1026</v>
      </c>
    </row>
    <row r="107" ht="15.75" customHeight="1">
      <c r="A107" t="s" s="25">
        <v>568</v>
      </c>
      <c r="B107" t="s" s="52">
        <v>56</v>
      </c>
      <c r="C107" t="s" s="29">
        <v>86</v>
      </c>
      <c r="D107" t="s" s="25">
        <v>1027</v>
      </c>
      <c r="E107" t="s" s="34">
        <v>1028</v>
      </c>
    </row>
    <row r="108" ht="15.75" customHeight="1">
      <c r="A108" t="s" s="25">
        <v>568</v>
      </c>
      <c r="B108" t="s" s="52">
        <v>56</v>
      </c>
      <c r="C108" t="s" s="29">
        <v>86</v>
      </c>
      <c r="D108" t="s" s="25">
        <v>1027</v>
      </c>
      <c r="E108" t="s" s="34">
        <v>1029</v>
      </c>
    </row>
    <row r="109" ht="15.75" customHeight="1">
      <c r="A109" t="s" s="25">
        <v>568</v>
      </c>
      <c r="B109" t="s" s="53">
        <v>57</v>
      </c>
      <c r="C109" t="s" s="29">
        <v>86</v>
      </c>
      <c r="D109" t="s" s="25">
        <v>594</v>
      </c>
      <c r="E109" t="s" s="34">
        <v>985</v>
      </c>
    </row>
    <row r="110" ht="15.75" customHeight="1">
      <c r="A110" t="s" s="25">
        <v>568</v>
      </c>
      <c r="B110" t="s" s="54">
        <v>58</v>
      </c>
      <c r="C110" t="s" s="29">
        <v>67</v>
      </c>
      <c r="D110" t="s" s="25">
        <v>579</v>
      </c>
      <c r="E110" t="s" s="34">
        <v>1030</v>
      </c>
    </row>
    <row r="111" ht="15.75" customHeight="1">
      <c r="A111" t="s" s="25">
        <v>568</v>
      </c>
      <c r="B111" t="s" s="55">
        <v>59</v>
      </c>
      <c r="C111" t="s" s="29">
        <v>86</v>
      </c>
      <c r="D111" t="s" s="25">
        <v>590</v>
      </c>
      <c r="E111" t="s" s="34">
        <v>1031</v>
      </c>
    </row>
    <row r="112" ht="15.75" customHeight="1">
      <c r="A112" t="s" s="25">
        <v>602</v>
      </c>
      <c r="B112" t="s" s="52">
        <v>56</v>
      </c>
      <c r="C112" t="s" s="29">
        <v>86</v>
      </c>
      <c r="D112" t="s" s="25">
        <v>618</v>
      </c>
      <c r="E112" t="s" s="34">
        <v>1032</v>
      </c>
    </row>
    <row r="113" ht="15.75" customHeight="1">
      <c r="A113" t="s" s="25">
        <v>602</v>
      </c>
      <c r="B113" t="s" s="52">
        <v>56</v>
      </c>
      <c r="C113" t="s" s="29">
        <v>86</v>
      </c>
      <c r="D113" t="s" s="25">
        <v>618</v>
      </c>
      <c r="E113" t="s" s="34">
        <v>1033</v>
      </c>
    </row>
    <row r="114" ht="15.75" customHeight="1">
      <c r="A114" t="s" s="25">
        <v>602</v>
      </c>
      <c r="B114" t="s" s="52">
        <v>56</v>
      </c>
      <c r="C114" t="s" s="29">
        <v>67</v>
      </c>
      <c r="D114" t="s" s="25">
        <v>611</v>
      </c>
      <c r="E114" t="s" s="34">
        <v>1034</v>
      </c>
    </row>
    <row r="115" ht="15.75" customHeight="1">
      <c r="A115" t="s" s="25">
        <v>602</v>
      </c>
      <c r="B115" t="s" s="52">
        <v>56</v>
      </c>
      <c r="C115" t="s" s="29">
        <v>67</v>
      </c>
      <c r="D115" t="s" s="25">
        <v>611</v>
      </c>
      <c r="E115" t="s" s="34">
        <v>1035</v>
      </c>
    </row>
    <row r="116" ht="15.75" customHeight="1">
      <c r="A116" t="s" s="25">
        <v>602</v>
      </c>
      <c r="B116" t="s" s="53">
        <v>57</v>
      </c>
      <c r="C116" t="s" s="29">
        <v>86</v>
      </c>
      <c r="D116" t="s" s="25">
        <v>625</v>
      </c>
      <c r="E116" t="s" s="34">
        <v>938</v>
      </c>
    </row>
    <row r="117" ht="15.75" customHeight="1">
      <c r="A117" t="s" s="25">
        <v>602</v>
      </c>
      <c r="B117" t="s" s="54">
        <v>58</v>
      </c>
      <c r="C117" t="s" s="29">
        <v>67</v>
      </c>
      <c r="D117" t="s" s="25">
        <v>609</v>
      </c>
      <c r="E117" t="s" s="34">
        <v>1036</v>
      </c>
    </row>
    <row r="118" ht="15.75" customHeight="1">
      <c r="A118" t="s" s="25">
        <v>602</v>
      </c>
      <c r="B118" t="s" s="55">
        <v>59</v>
      </c>
      <c r="C118" t="s" s="29">
        <v>100</v>
      </c>
      <c r="D118" t="s" s="25">
        <v>633</v>
      </c>
      <c r="E118" t="s" s="34">
        <v>1037</v>
      </c>
    </row>
    <row r="119" ht="15.75" customHeight="1">
      <c r="A119" t="s" s="25">
        <v>641</v>
      </c>
      <c r="B119" t="s" s="52">
        <v>56</v>
      </c>
      <c r="C119" t="s" s="29">
        <v>100</v>
      </c>
      <c r="D119" t="s" s="25">
        <v>665</v>
      </c>
      <c r="E119" t="s" s="34">
        <v>1038</v>
      </c>
    </row>
    <row r="120" ht="15.75" customHeight="1">
      <c r="A120" t="s" s="25">
        <v>641</v>
      </c>
      <c r="B120" t="s" s="52">
        <v>56</v>
      </c>
      <c r="C120" t="s" s="29">
        <v>100</v>
      </c>
      <c r="D120" t="s" s="25">
        <v>665</v>
      </c>
      <c r="E120" t="s" s="34">
        <v>1039</v>
      </c>
    </row>
    <row r="121" ht="15.75" customHeight="1">
      <c r="A121" t="s" s="25">
        <v>641</v>
      </c>
      <c r="B121" t="s" s="52">
        <v>56</v>
      </c>
      <c r="C121" t="s" s="29">
        <v>67</v>
      </c>
      <c r="D121" t="s" s="25">
        <v>647</v>
      </c>
      <c r="E121" t="s" s="34">
        <v>1040</v>
      </c>
    </row>
    <row r="122" ht="15.75" customHeight="1">
      <c r="A122" t="s" s="25">
        <v>641</v>
      </c>
      <c r="B122" t="s" s="52">
        <v>56</v>
      </c>
      <c r="C122" t="s" s="29">
        <v>67</v>
      </c>
      <c r="D122" t="s" s="25">
        <v>647</v>
      </c>
      <c r="E122" t="s" s="34">
        <v>1041</v>
      </c>
    </row>
    <row r="123" ht="15.75" customHeight="1">
      <c r="A123" t="s" s="25">
        <v>641</v>
      </c>
      <c r="B123" t="s" s="53">
        <v>57</v>
      </c>
      <c r="C123" t="s" s="29">
        <v>100</v>
      </c>
      <c r="D123" t="s" s="25">
        <v>673</v>
      </c>
      <c r="E123" t="s" s="34">
        <v>1042</v>
      </c>
    </row>
    <row r="124" ht="15.75" customHeight="1">
      <c r="A124" t="s" s="25">
        <v>641</v>
      </c>
      <c r="B124" t="s" s="53">
        <v>57</v>
      </c>
      <c r="C124" t="s" s="29">
        <v>100</v>
      </c>
      <c r="D124" t="s" s="25">
        <v>673</v>
      </c>
      <c r="E124" t="s" s="34">
        <v>1043</v>
      </c>
    </row>
    <row r="125" ht="15.75" customHeight="1">
      <c r="A125" t="s" s="25">
        <v>641</v>
      </c>
      <c r="B125" t="s" s="54">
        <v>58</v>
      </c>
      <c r="C125" t="s" s="29">
        <v>86</v>
      </c>
      <c r="D125" t="s" s="25">
        <v>657</v>
      </c>
      <c r="E125" t="s" s="34">
        <v>1044</v>
      </c>
    </row>
    <row r="126" ht="15.75" customHeight="1">
      <c r="A126" t="s" s="25">
        <v>641</v>
      </c>
      <c r="B126" t="s" s="55">
        <v>59</v>
      </c>
      <c r="C126" t="s" s="29">
        <v>86</v>
      </c>
      <c r="D126" t="s" s="25">
        <v>663</v>
      </c>
      <c r="E126" t="s" s="34">
        <v>1045</v>
      </c>
    </row>
    <row r="127" ht="15.75" customHeight="1">
      <c r="A127" t="s" s="25">
        <v>675</v>
      </c>
      <c r="B127" t="s" s="52">
        <v>56</v>
      </c>
      <c r="C127" t="s" s="29">
        <v>100</v>
      </c>
      <c r="D127" t="s" s="25">
        <v>709</v>
      </c>
      <c r="E127" t="s" s="34">
        <v>1046</v>
      </c>
    </row>
    <row r="128" ht="15.75" customHeight="1">
      <c r="A128" t="s" s="25">
        <v>675</v>
      </c>
      <c r="B128" t="s" s="52">
        <v>56</v>
      </c>
      <c r="C128" t="s" s="29">
        <v>100</v>
      </c>
      <c r="D128" t="s" s="25">
        <v>709</v>
      </c>
      <c r="E128" t="s" s="34">
        <v>1047</v>
      </c>
    </row>
    <row r="129" ht="15.75" customHeight="1">
      <c r="A129" t="s" s="25">
        <v>675</v>
      </c>
      <c r="B129" t="s" s="52">
        <v>56</v>
      </c>
      <c r="C129" t="s" s="29">
        <v>100</v>
      </c>
      <c r="D129" t="s" s="25">
        <v>707</v>
      </c>
      <c r="E129" t="s" s="34">
        <v>1048</v>
      </c>
    </row>
    <row r="130" ht="15.75" customHeight="1">
      <c r="A130" t="s" s="25">
        <v>675</v>
      </c>
      <c r="B130" t="s" s="52">
        <v>56</v>
      </c>
      <c r="C130" t="s" s="29">
        <v>100</v>
      </c>
      <c r="D130" t="s" s="25">
        <v>707</v>
      </c>
      <c r="E130" t="s" s="34">
        <v>1049</v>
      </c>
    </row>
    <row r="131" ht="15.75" customHeight="1">
      <c r="A131" t="s" s="25">
        <v>675</v>
      </c>
      <c r="B131" t="s" s="53">
        <v>57</v>
      </c>
      <c r="C131" t="s" s="29">
        <v>62</v>
      </c>
      <c r="D131" t="s" s="25">
        <v>676</v>
      </c>
      <c r="E131" t="s" s="34">
        <v>1050</v>
      </c>
    </row>
    <row r="132" ht="15.75" customHeight="1">
      <c r="A132" t="s" s="25">
        <v>675</v>
      </c>
      <c r="B132" t="s" s="53">
        <v>57</v>
      </c>
      <c r="C132" t="s" s="29">
        <v>67</v>
      </c>
      <c r="D132" t="s" s="25">
        <v>684</v>
      </c>
      <c r="E132" t="s" s="34">
        <v>1050</v>
      </c>
    </row>
    <row r="133" ht="15.75" customHeight="1">
      <c r="A133" t="s" s="25">
        <v>675</v>
      </c>
      <c r="B133" t="s" s="54">
        <v>58</v>
      </c>
      <c r="C133" t="s" s="29">
        <v>86</v>
      </c>
      <c r="D133" t="s" s="25">
        <v>692</v>
      </c>
      <c r="E133" t="s" s="34">
        <v>1051</v>
      </c>
    </row>
    <row r="134" ht="15.75" customHeight="1">
      <c r="A134" t="s" s="25">
        <v>675</v>
      </c>
      <c r="B134" t="s" s="55">
        <v>59</v>
      </c>
      <c r="C134" t="s" s="29">
        <v>86</v>
      </c>
      <c r="D134" t="s" s="25">
        <v>696</v>
      </c>
      <c r="E134" t="s" s="34">
        <v>1052</v>
      </c>
    </row>
    <row r="135" ht="15.75" customHeight="1">
      <c r="A135" t="s" s="25">
        <v>717</v>
      </c>
      <c r="B135" t="s" s="52">
        <v>56</v>
      </c>
      <c r="C135" t="s" s="29">
        <v>100</v>
      </c>
      <c r="D135" t="s" s="25">
        <v>747</v>
      </c>
      <c r="E135" t="s" s="34">
        <v>1053</v>
      </c>
    </row>
    <row r="136" ht="15.75" customHeight="1">
      <c r="A136" t="s" s="25">
        <v>717</v>
      </c>
      <c r="B136" t="s" s="52">
        <v>56</v>
      </c>
      <c r="C136" t="s" s="29">
        <v>100</v>
      </c>
      <c r="D136" t="s" s="25">
        <v>747</v>
      </c>
      <c r="E136" t="s" s="34">
        <v>1054</v>
      </c>
    </row>
    <row r="137" ht="15.75" customHeight="1">
      <c r="A137" t="s" s="25">
        <v>717</v>
      </c>
      <c r="B137" t="s" s="52">
        <v>56</v>
      </c>
      <c r="C137" t="s" s="29">
        <v>86</v>
      </c>
      <c r="D137" t="s" s="25">
        <v>730</v>
      </c>
      <c r="E137" t="s" s="34">
        <v>978</v>
      </c>
    </row>
    <row r="138" ht="15.75" customHeight="1">
      <c r="A138" t="s" s="25">
        <v>717</v>
      </c>
      <c r="B138" t="s" s="52">
        <v>56</v>
      </c>
      <c r="C138" t="s" s="29">
        <v>86</v>
      </c>
      <c r="D138" t="s" s="25">
        <v>730</v>
      </c>
      <c r="E138" t="s" s="34">
        <v>1055</v>
      </c>
    </row>
    <row r="139" ht="15.75" customHeight="1">
      <c r="A139" t="s" s="25">
        <v>717</v>
      </c>
      <c r="B139" t="s" s="53">
        <v>57</v>
      </c>
      <c r="C139" t="s" s="29">
        <v>67</v>
      </c>
      <c r="D139" t="s" s="25">
        <v>728</v>
      </c>
      <c r="E139" t="s" s="34">
        <v>1056</v>
      </c>
    </row>
    <row r="140" ht="15.75" customHeight="1">
      <c r="A140" t="s" s="25">
        <v>717</v>
      </c>
      <c r="B140" t="s" s="54">
        <v>58</v>
      </c>
      <c r="C140" t="s" s="29">
        <v>86</v>
      </c>
      <c r="D140" t="s" s="25">
        <v>738</v>
      </c>
      <c r="E140" t="s" s="34">
        <v>1057</v>
      </c>
    </row>
    <row r="141" ht="15.75" customHeight="1">
      <c r="A141" t="s" s="25">
        <v>717</v>
      </c>
      <c r="B141" t="s" s="55">
        <v>59</v>
      </c>
      <c r="C141" t="s" s="29">
        <v>86</v>
      </c>
      <c r="D141" t="s" s="25">
        <v>744</v>
      </c>
      <c r="E141" t="s" s="34">
        <v>1058</v>
      </c>
    </row>
    <row r="142" ht="15.75" customHeight="1">
      <c r="A142" t="s" s="25">
        <v>753</v>
      </c>
      <c r="B142" t="s" s="52">
        <v>56</v>
      </c>
      <c r="C142" t="s" s="29">
        <v>100</v>
      </c>
      <c r="D142" t="s" s="25">
        <v>781</v>
      </c>
      <c r="E142" t="s" s="34">
        <v>1059</v>
      </c>
    </row>
    <row r="143" ht="15.75" customHeight="1">
      <c r="A143" t="s" s="25">
        <v>753</v>
      </c>
      <c r="B143" t="s" s="52">
        <v>56</v>
      </c>
      <c r="C143" t="s" s="29">
        <v>100</v>
      </c>
      <c r="D143" t="s" s="25">
        <v>781</v>
      </c>
      <c r="E143" t="s" s="34">
        <v>1060</v>
      </c>
    </row>
    <row r="144" ht="15.75" customHeight="1">
      <c r="A144" t="s" s="25">
        <v>753</v>
      </c>
      <c r="B144" t="s" s="52">
        <v>56</v>
      </c>
      <c r="C144" t="s" s="29">
        <v>86</v>
      </c>
      <c r="D144" t="s" s="25">
        <v>768</v>
      </c>
      <c r="E144" t="s" s="34">
        <v>1032</v>
      </c>
    </row>
    <row r="145" ht="15.75" customHeight="1">
      <c r="A145" t="s" s="25">
        <v>753</v>
      </c>
      <c r="B145" t="s" s="52">
        <v>56</v>
      </c>
      <c r="C145" t="s" s="29">
        <v>86</v>
      </c>
      <c r="D145" t="s" s="25">
        <v>768</v>
      </c>
      <c r="E145" t="s" s="34">
        <v>1061</v>
      </c>
    </row>
    <row r="146" ht="15.75" customHeight="1">
      <c r="A146" t="s" s="25">
        <v>753</v>
      </c>
      <c r="B146" t="s" s="53">
        <v>57</v>
      </c>
      <c r="C146" t="s" s="29">
        <v>86</v>
      </c>
      <c r="D146" t="s" s="25">
        <v>770</v>
      </c>
      <c r="E146" t="s" s="34">
        <v>994</v>
      </c>
    </row>
    <row r="147" ht="15.75" customHeight="1">
      <c r="A147" t="s" s="25">
        <v>753</v>
      </c>
      <c r="B147" t="s" s="54">
        <v>58</v>
      </c>
      <c r="C147" t="s" s="29">
        <v>67</v>
      </c>
      <c r="D147" t="s" s="25">
        <v>73</v>
      </c>
      <c r="E147" t="s" s="34">
        <v>1062</v>
      </c>
    </row>
    <row r="148" ht="15.75" customHeight="1">
      <c r="A148" t="s" s="25">
        <v>753</v>
      </c>
      <c r="B148" t="s" s="55">
        <v>59</v>
      </c>
      <c r="C148" t="s" s="29">
        <v>86</v>
      </c>
      <c r="D148" t="s" s="25">
        <v>777</v>
      </c>
      <c r="E148" t="s" s="34">
        <v>1063</v>
      </c>
    </row>
    <row r="149" ht="15.75" customHeight="1">
      <c r="A149" t="s" s="25">
        <v>786</v>
      </c>
      <c r="B149" t="s" s="52">
        <v>56</v>
      </c>
      <c r="C149" t="s" s="29">
        <v>100</v>
      </c>
      <c r="D149" t="s" s="25">
        <v>818</v>
      </c>
      <c r="E149" t="s" s="34">
        <v>1047</v>
      </c>
    </row>
    <row r="150" ht="15.75" customHeight="1">
      <c r="A150" t="s" s="25">
        <v>786</v>
      </c>
      <c r="B150" t="s" s="52">
        <v>56</v>
      </c>
      <c r="C150" t="s" s="29">
        <v>100</v>
      </c>
      <c r="D150" t="s" s="25">
        <v>818</v>
      </c>
      <c r="E150" t="s" s="34">
        <v>1064</v>
      </c>
    </row>
    <row r="151" ht="15.75" customHeight="1">
      <c r="A151" t="s" s="25">
        <v>786</v>
      </c>
      <c r="B151" t="s" s="52">
        <v>56</v>
      </c>
      <c r="C151" t="s" s="29">
        <v>86</v>
      </c>
      <c r="D151" t="s" s="25">
        <v>807</v>
      </c>
      <c r="E151" t="s" s="34">
        <v>1065</v>
      </c>
    </row>
    <row r="152" ht="15.75" customHeight="1">
      <c r="A152" t="s" s="25">
        <v>786</v>
      </c>
      <c r="B152" t="s" s="52">
        <v>56</v>
      </c>
      <c r="C152" t="s" s="29">
        <v>86</v>
      </c>
      <c r="D152" t="s" s="25">
        <v>807</v>
      </c>
      <c r="E152" t="s" s="34">
        <v>1066</v>
      </c>
    </row>
    <row r="153" ht="15.75" customHeight="1">
      <c r="A153" t="s" s="25">
        <v>786</v>
      </c>
      <c r="B153" t="s" s="53">
        <v>57</v>
      </c>
      <c r="C153" t="s" s="29">
        <v>67</v>
      </c>
      <c r="D153" t="s" s="25">
        <v>802</v>
      </c>
      <c r="E153" t="s" s="34">
        <v>1067</v>
      </c>
    </row>
    <row r="154" ht="15.75" customHeight="1">
      <c r="A154" t="s" s="25">
        <v>786</v>
      </c>
      <c r="B154" t="s" s="53">
        <v>57</v>
      </c>
      <c r="C154" t="s" s="29">
        <v>67</v>
      </c>
      <c r="D154" t="s" s="25">
        <v>802</v>
      </c>
      <c r="E154" t="s" s="34">
        <v>1068</v>
      </c>
    </row>
    <row r="155" ht="15.75" customHeight="1">
      <c r="A155" t="s" s="25">
        <v>786</v>
      </c>
      <c r="B155" t="s" s="54">
        <v>58</v>
      </c>
      <c r="C155" t="s" s="29">
        <v>67</v>
      </c>
      <c r="D155" t="s" s="25">
        <v>792</v>
      </c>
      <c r="E155" t="s" s="34">
        <v>1069</v>
      </c>
    </row>
    <row r="156" ht="15.75" customHeight="1">
      <c r="A156" t="s" s="25">
        <v>786</v>
      </c>
      <c r="B156" t="s" s="55">
        <v>59</v>
      </c>
      <c r="C156" t="s" s="29">
        <v>86</v>
      </c>
      <c r="D156" t="s" s="25">
        <v>810</v>
      </c>
      <c r="E156" t="s" s="34">
        <v>1070</v>
      </c>
    </row>
  </sheetData>
  <pageMargins left="0.75" right="0.75" top="1" bottom="1" header="0" footer="0"/>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63"/>
  <sheetViews>
    <sheetView workbookViewId="0" showGridLines="0" defaultGridColor="1"/>
  </sheetViews>
  <sheetFormatPr defaultColWidth="14.5" defaultRowHeight="15" customHeight="1" outlineLevelRow="0" outlineLevelCol="0"/>
  <cols>
    <col min="1" max="1" width="15" style="57" customWidth="1"/>
    <col min="2" max="2" width="20" style="57" customWidth="1"/>
    <col min="3" max="3" width="6" style="57" customWidth="1"/>
    <col min="4" max="4" width="70" style="57" customWidth="1"/>
    <col min="5" max="5" width="8.67188" style="57" customWidth="1"/>
    <col min="6" max="16384" width="14.5" style="57" customWidth="1"/>
  </cols>
  <sheetData>
    <row r="1" ht="30" customHeight="1">
      <c r="A1" t="s" s="24">
        <v>50</v>
      </c>
      <c r="B1" t="s" s="24">
        <v>827</v>
      </c>
      <c r="C1" t="s" s="24">
        <v>1071</v>
      </c>
      <c r="D1" t="s" s="24">
        <v>1072</v>
      </c>
      <c r="E1" s="58"/>
    </row>
    <row r="2" ht="13.65" customHeight="1">
      <c r="A2" t="s" s="47">
        <v>61</v>
      </c>
      <c r="B2" t="s" s="47">
        <v>836</v>
      </c>
      <c r="C2" s="33">
        <v>1</v>
      </c>
      <c r="D2" t="s" s="47">
        <v>1073</v>
      </c>
      <c r="E2" s="58"/>
    </row>
    <row r="3" ht="13.65" customHeight="1">
      <c r="A3" t="s" s="47">
        <v>61</v>
      </c>
      <c r="B3" t="s" s="47">
        <v>836</v>
      </c>
      <c r="C3" s="33">
        <v>2</v>
      </c>
      <c r="D3" t="s" s="47">
        <v>1074</v>
      </c>
      <c r="E3" s="58"/>
    </row>
    <row r="4" ht="13.65" customHeight="1">
      <c r="A4" t="s" s="47">
        <v>61</v>
      </c>
      <c r="B4" t="s" s="47">
        <v>836</v>
      </c>
      <c r="C4" s="33">
        <v>3</v>
      </c>
      <c r="D4" t="s" s="47">
        <v>1075</v>
      </c>
      <c r="E4" s="58"/>
    </row>
    <row r="5" ht="13.65" customHeight="1">
      <c r="A5" t="s" s="47">
        <v>61</v>
      </c>
      <c r="B5" t="s" s="47">
        <v>836</v>
      </c>
      <c r="C5" s="33">
        <v>4</v>
      </c>
      <c r="D5" t="s" s="47">
        <v>1076</v>
      </c>
      <c r="E5" s="58"/>
    </row>
    <row r="6" ht="13.65" customHeight="1">
      <c r="A6" t="s" s="47">
        <v>109</v>
      </c>
      <c r="B6" t="s" s="47">
        <v>840</v>
      </c>
      <c r="C6" s="33">
        <v>1</v>
      </c>
      <c r="D6" t="s" s="47">
        <v>1073</v>
      </c>
      <c r="E6" s="58"/>
    </row>
    <row r="7" ht="13.65" customHeight="1">
      <c r="A7" t="s" s="47">
        <v>109</v>
      </c>
      <c r="B7" t="s" s="47">
        <v>840</v>
      </c>
      <c r="C7" s="33">
        <v>2</v>
      </c>
      <c r="D7" t="s" s="47">
        <v>1077</v>
      </c>
      <c r="E7" s="58"/>
    </row>
    <row r="8" ht="13.65" customHeight="1">
      <c r="A8" t="s" s="47">
        <v>109</v>
      </c>
      <c r="B8" t="s" s="47">
        <v>840</v>
      </c>
      <c r="C8" s="33">
        <v>3</v>
      </c>
      <c r="D8" t="s" s="47">
        <v>1078</v>
      </c>
      <c r="E8" s="58"/>
    </row>
    <row r="9" ht="13.65" customHeight="1">
      <c r="A9" t="s" s="47">
        <v>145</v>
      </c>
      <c r="B9" t="s" s="47">
        <v>843</v>
      </c>
      <c r="C9" s="33">
        <v>1</v>
      </c>
      <c r="D9" t="s" s="47">
        <v>1079</v>
      </c>
      <c r="E9" s="58"/>
    </row>
    <row r="10" ht="13.65" customHeight="1">
      <c r="A10" t="s" s="47">
        <v>145</v>
      </c>
      <c r="B10" t="s" s="47">
        <v>843</v>
      </c>
      <c r="C10" s="33">
        <v>2</v>
      </c>
      <c r="D10" t="s" s="47">
        <v>1074</v>
      </c>
      <c r="E10" s="58"/>
    </row>
    <row r="11" ht="13.65" customHeight="1">
      <c r="A11" t="s" s="47">
        <v>145</v>
      </c>
      <c r="B11" t="s" s="47">
        <v>843</v>
      </c>
      <c r="C11" s="33">
        <v>3</v>
      </c>
      <c r="D11" t="s" s="47">
        <v>1080</v>
      </c>
      <c r="E11" s="58"/>
    </row>
    <row r="12" ht="13.65" customHeight="1">
      <c r="A12" t="s" s="47">
        <v>185</v>
      </c>
      <c r="B12" t="s" s="47">
        <v>847</v>
      </c>
      <c r="C12" s="33">
        <v>1</v>
      </c>
      <c r="D12" t="s" s="47">
        <v>1079</v>
      </c>
      <c r="E12" s="58"/>
    </row>
    <row r="13" ht="13.65" customHeight="1">
      <c r="A13" t="s" s="47">
        <v>185</v>
      </c>
      <c r="B13" t="s" s="47">
        <v>847</v>
      </c>
      <c r="C13" s="33">
        <v>2</v>
      </c>
      <c r="D13" t="s" s="47">
        <v>1074</v>
      </c>
      <c r="E13" s="58"/>
    </row>
    <row r="14" ht="13.65" customHeight="1">
      <c r="A14" t="s" s="47">
        <v>185</v>
      </c>
      <c r="B14" t="s" s="47">
        <v>847</v>
      </c>
      <c r="C14" s="33">
        <v>3</v>
      </c>
      <c r="D14" t="s" s="47">
        <v>1081</v>
      </c>
      <c r="E14" s="58"/>
    </row>
    <row r="15" ht="13.65" customHeight="1">
      <c r="A15" t="s" s="47">
        <v>231</v>
      </c>
      <c r="B15" t="s" s="47">
        <v>852</v>
      </c>
      <c r="C15" s="33">
        <v>1</v>
      </c>
      <c r="D15" t="s" s="47">
        <v>1073</v>
      </c>
      <c r="E15" s="58"/>
    </row>
    <row r="16" ht="13.65" customHeight="1">
      <c r="A16" t="s" s="47">
        <v>231</v>
      </c>
      <c r="B16" t="s" s="47">
        <v>852</v>
      </c>
      <c r="C16" s="33">
        <v>2</v>
      </c>
      <c r="D16" t="s" s="47">
        <v>1082</v>
      </c>
      <c r="E16" s="58"/>
    </row>
    <row r="17" ht="13.65" customHeight="1">
      <c r="A17" t="s" s="47">
        <v>231</v>
      </c>
      <c r="B17" t="s" s="47">
        <v>852</v>
      </c>
      <c r="C17" s="33">
        <v>3</v>
      </c>
      <c r="D17" t="s" s="47">
        <v>1083</v>
      </c>
      <c r="E17" s="58"/>
    </row>
    <row r="18" ht="13.65" customHeight="1">
      <c r="A18" t="s" s="47">
        <v>231</v>
      </c>
      <c r="B18" t="s" s="47">
        <v>852</v>
      </c>
      <c r="C18" s="33">
        <v>4</v>
      </c>
      <c r="D18" t="s" s="47">
        <v>1084</v>
      </c>
      <c r="E18" s="58"/>
    </row>
    <row r="19" ht="13.65" customHeight="1">
      <c r="A19" t="s" s="47">
        <v>269</v>
      </c>
      <c r="B19" t="s" s="47">
        <v>856</v>
      </c>
      <c r="C19" s="33">
        <v>1</v>
      </c>
      <c r="D19" t="s" s="47">
        <v>1085</v>
      </c>
      <c r="E19" s="58"/>
    </row>
    <row r="20" ht="13.65" customHeight="1">
      <c r="A20" t="s" s="47">
        <v>269</v>
      </c>
      <c r="B20" t="s" s="47">
        <v>856</v>
      </c>
      <c r="C20" s="33">
        <v>2</v>
      </c>
      <c r="D20" t="s" s="47">
        <v>1086</v>
      </c>
      <c r="E20" s="58"/>
    </row>
    <row r="21" ht="15.75" customHeight="1">
      <c r="A21" t="s" s="47">
        <v>269</v>
      </c>
      <c r="B21" t="s" s="47">
        <v>856</v>
      </c>
      <c r="C21" s="33">
        <v>3</v>
      </c>
      <c r="D21" t="s" s="47">
        <v>1087</v>
      </c>
      <c r="E21" s="58"/>
    </row>
    <row r="22" ht="15.75" customHeight="1">
      <c r="A22" t="s" s="47">
        <v>315</v>
      </c>
      <c r="B22" t="s" s="47">
        <v>860</v>
      </c>
      <c r="C22" s="33">
        <v>1</v>
      </c>
      <c r="D22" t="s" s="47">
        <v>1088</v>
      </c>
      <c r="E22" s="58"/>
    </row>
    <row r="23" ht="15.75" customHeight="1">
      <c r="A23" t="s" s="47">
        <v>315</v>
      </c>
      <c r="B23" t="s" s="47">
        <v>860</v>
      </c>
      <c r="C23" s="33">
        <v>2</v>
      </c>
      <c r="D23" t="s" s="47">
        <v>1089</v>
      </c>
      <c r="E23" s="58"/>
    </row>
    <row r="24" ht="15.75" customHeight="1">
      <c r="A24" t="s" s="47">
        <v>315</v>
      </c>
      <c r="B24" t="s" s="47">
        <v>860</v>
      </c>
      <c r="C24" s="33">
        <v>3</v>
      </c>
      <c r="D24" t="s" s="47">
        <v>1090</v>
      </c>
      <c r="E24" s="58"/>
    </row>
    <row r="25" ht="15.75" customHeight="1">
      <c r="A25" t="s" s="47">
        <v>352</v>
      </c>
      <c r="B25" t="s" s="47">
        <v>865</v>
      </c>
      <c r="C25" s="33">
        <v>1</v>
      </c>
      <c r="D25" t="s" s="47">
        <v>1091</v>
      </c>
      <c r="E25" s="58"/>
    </row>
    <row r="26" ht="15.75" customHeight="1">
      <c r="A26" t="s" s="47">
        <v>352</v>
      </c>
      <c r="B26" t="s" s="47">
        <v>865</v>
      </c>
      <c r="C26" s="33">
        <v>2</v>
      </c>
      <c r="D26" t="s" s="47">
        <v>1092</v>
      </c>
      <c r="E26" s="58"/>
    </row>
    <row r="27" ht="15.75" customHeight="1">
      <c r="A27" t="s" s="47">
        <v>352</v>
      </c>
      <c r="B27" t="s" s="47">
        <v>865</v>
      </c>
      <c r="C27" s="33">
        <v>3</v>
      </c>
      <c r="D27" t="s" s="47">
        <v>1093</v>
      </c>
      <c r="E27" s="58"/>
    </row>
    <row r="28" ht="15.75" customHeight="1">
      <c r="A28" t="s" s="47">
        <v>390</v>
      </c>
      <c r="B28" t="s" s="47">
        <v>869</v>
      </c>
      <c r="C28" s="33">
        <v>1</v>
      </c>
      <c r="D28" t="s" s="47">
        <v>1094</v>
      </c>
      <c r="E28" s="58"/>
    </row>
    <row r="29" ht="15.75" customHeight="1">
      <c r="A29" t="s" s="47">
        <v>390</v>
      </c>
      <c r="B29" t="s" s="47">
        <v>869</v>
      </c>
      <c r="C29" s="33">
        <v>2</v>
      </c>
      <c r="D29" t="s" s="47">
        <v>1074</v>
      </c>
      <c r="E29" s="58"/>
    </row>
    <row r="30" ht="15.75" customHeight="1">
      <c r="A30" t="s" s="47">
        <v>390</v>
      </c>
      <c r="B30" t="s" s="47">
        <v>869</v>
      </c>
      <c r="C30" s="33">
        <v>3</v>
      </c>
      <c r="D30" t="s" s="47">
        <v>1095</v>
      </c>
      <c r="E30" s="58"/>
    </row>
    <row r="31" ht="15.75" customHeight="1">
      <c r="A31" t="s" s="47">
        <v>428</v>
      </c>
      <c r="B31" t="s" s="47">
        <v>872</v>
      </c>
      <c r="C31" s="33">
        <v>1</v>
      </c>
      <c r="D31" t="s" s="47">
        <v>1096</v>
      </c>
      <c r="E31" s="58"/>
    </row>
    <row r="32" ht="15.75" customHeight="1">
      <c r="A32" t="s" s="47">
        <v>428</v>
      </c>
      <c r="B32" t="s" s="47">
        <v>872</v>
      </c>
      <c r="C32" s="33">
        <v>2</v>
      </c>
      <c r="D32" t="s" s="47">
        <v>1097</v>
      </c>
      <c r="E32" s="58"/>
    </row>
    <row r="33" ht="15.75" customHeight="1">
      <c r="A33" t="s" s="47">
        <v>428</v>
      </c>
      <c r="B33" t="s" s="47">
        <v>872</v>
      </c>
      <c r="C33" s="33">
        <v>3</v>
      </c>
      <c r="D33" t="s" s="47">
        <v>1098</v>
      </c>
      <c r="E33" s="58"/>
    </row>
    <row r="34" ht="15.75" customHeight="1">
      <c r="A34" t="s" s="47">
        <v>468</v>
      </c>
      <c r="B34" t="s" s="47">
        <v>875</v>
      </c>
      <c r="C34" s="33">
        <v>1</v>
      </c>
      <c r="D34" t="s" s="47">
        <v>1073</v>
      </c>
      <c r="E34" s="58"/>
    </row>
    <row r="35" ht="15.75" customHeight="1">
      <c r="A35" t="s" s="47">
        <v>468</v>
      </c>
      <c r="B35" t="s" s="47">
        <v>875</v>
      </c>
      <c r="C35" s="33">
        <v>2</v>
      </c>
      <c r="D35" t="s" s="47">
        <v>1099</v>
      </c>
      <c r="E35" s="58"/>
    </row>
    <row r="36" ht="15.75" customHeight="1">
      <c r="A36" t="s" s="47">
        <v>468</v>
      </c>
      <c r="B36" t="s" s="47">
        <v>875</v>
      </c>
      <c r="C36" s="33">
        <v>3</v>
      </c>
      <c r="D36" t="s" s="47">
        <v>1100</v>
      </c>
      <c r="E36" s="58"/>
    </row>
    <row r="37" ht="15.75" customHeight="1">
      <c r="A37" t="s" s="47">
        <v>498</v>
      </c>
      <c r="B37" t="s" s="47">
        <v>878</v>
      </c>
      <c r="C37" s="33">
        <v>1</v>
      </c>
      <c r="D37" t="s" s="47">
        <v>1101</v>
      </c>
      <c r="E37" s="58"/>
    </row>
    <row r="38" ht="15.75" customHeight="1">
      <c r="A38" t="s" s="47">
        <v>498</v>
      </c>
      <c r="B38" t="s" s="47">
        <v>878</v>
      </c>
      <c r="C38" s="33">
        <v>2</v>
      </c>
      <c r="D38" t="s" s="47">
        <v>1102</v>
      </c>
      <c r="E38" s="58"/>
    </row>
    <row r="39" ht="15.75" customHeight="1">
      <c r="A39" t="s" s="47">
        <v>498</v>
      </c>
      <c r="B39" t="s" s="47">
        <v>878</v>
      </c>
      <c r="C39" s="33">
        <v>3</v>
      </c>
      <c r="D39" t="s" s="47">
        <v>1103</v>
      </c>
      <c r="E39" s="58"/>
    </row>
    <row r="40" ht="15.75" customHeight="1">
      <c r="A40" t="s" s="47">
        <v>534</v>
      </c>
      <c r="B40" t="s" s="47">
        <v>881</v>
      </c>
      <c r="C40" s="33">
        <v>1</v>
      </c>
      <c r="D40" t="s" s="47">
        <v>1104</v>
      </c>
      <c r="E40" s="58"/>
    </row>
    <row r="41" ht="15.75" customHeight="1">
      <c r="A41" t="s" s="47">
        <v>534</v>
      </c>
      <c r="B41" t="s" s="47">
        <v>881</v>
      </c>
      <c r="C41" s="33">
        <v>2</v>
      </c>
      <c r="D41" t="s" s="47">
        <v>1105</v>
      </c>
      <c r="E41" s="58"/>
    </row>
    <row r="42" ht="15.75" customHeight="1">
      <c r="A42" t="s" s="47">
        <v>534</v>
      </c>
      <c r="B42" t="s" s="47">
        <v>881</v>
      </c>
      <c r="C42" s="33">
        <v>3</v>
      </c>
      <c r="D42" t="s" s="47">
        <v>1106</v>
      </c>
      <c r="E42" s="58"/>
    </row>
    <row r="43" ht="15.75" customHeight="1">
      <c r="A43" t="s" s="47">
        <v>568</v>
      </c>
      <c r="B43" t="s" s="47">
        <v>884</v>
      </c>
      <c r="C43" s="33">
        <v>1</v>
      </c>
      <c r="D43" t="s" s="47">
        <v>1074</v>
      </c>
      <c r="E43" s="58"/>
    </row>
    <row r="44" ht="15.75" customHeight="1">
      <c r="A44" t="s" s="47">
        <v>568</v>
      </c>
      <c r="B44" t="s" s="47">
        <v>884</v>
      </c>
      <c r="C44" s="33">
        <v>2</v>
      </c>
      <c r="D44" t="s" s="47">
        <v>1107</v>
      </c>
      <c r="E44" s="58"/>
    </row>
    <row r="45" ht="15.75" customHeight="1">
      <c r="A45" t="s" s="47">
        <v>568</v>
      </c>
      <c r="B45" t="s" s="47">
        <v>884</v>
      </c>
      <c r="C45" s="33">
        <v>3</v>
      </c>
      <c r="D45" t="s" s="47">
        <v>1108</v>
      </c>
      <c r="E45" s="58"/>
    </row>
    <row r="46" ht="15.75" customHeight="1">
      <c r="A46" t="s" s="47">
        <v>602</v>
      </c>
      <c r="B46" t="s" s="47">
        <v>887</v>
      </c>
      <c r="C46" s="33">
        <v>1</v>
      </c>
      <c r="D46" t="s" s="47">
        <v>1074</v>
      </c>
      <c r="E46" s="58"/>
    </row>
    <row r="47" ht="15.75" customHeight="1">
      <c r="A47" t="s" s="47">
        <v>602</v>
      </c>
      <c r="B47" t="s" s="47">
        <v>887</v>
      </c>
      <c r="C47" s="33">
        <v>2</v>
      </c>
      <c r="D47" t="s" s="47">
        <v>1109</v>
      </c>
      <c r="E47" s="58"/>
    </row>
    <row r="48" ht="15.75" customHeight="1">
      <c r="A48" t="s" s="47">
        <v>602</v>
      </c>
      <c r="B48" t="s" s="47">
        <v>887</v>
      </c>
      <c r="C48" s="33">
        <v>3</v>
      </c>
      <c r="D48" t="s" s="47">
        <v>1110</v>
      </c>
      <c r="E48" s="58"/>
    </row>
    <row r="49" ht="15.75" customHeight="1">
      <c r="A49" t="s" s="47">
        <v>641</v>
      </c>
      <c r="B49" t="s" s="47">
        <v>890</v>
      </c>
      <c r="C49" s="33">
        <v>1</v>
      </c>
      <c r="D49" t="s" s="47">
        <v>1111</v>
      </c>
      <c r="E49" s="58"/>
    </row>
    <row r="50" ht="15.75" customHeight="1">
      <c r="A50" t="s" s="47">
        <v>641</v>
      </c>
      <c r="B50" t="s" s="47">
        <v>890</v>
      </c>
      <c r="C50" s="33">
        <v>2</v>
      </c>
      <c r="D50" t="s" s="47">
        <v>1112</v>
      </c>
      <c r="E50" s="58"/>
    </row>
    <row r="51" ht="15.75" customHeight="1">
      <c r="A51" t="s" s="47">
        <v>641</v>
      </c>
      <c r="B51" t="s" s="47">
        <v>890</v>
      </c>
      <c r="C51" s="33">
        <v>3</v>
      </c>
      <c r="D51" t="s" s="47">
        <v>1113</v>
      </c>
      <c r="E51" s="58"/>
    </row>
    <row r="52" ht="15.75" customHeight="1">
      <c r="A52" t="s" s="47">
        <v>675</v>
      </c>
      <c r="B52" t="s" s="47">
        <v>893</v>
      </c>
      <c r="C52" s="33">
        <v>1</v>
      </c>
      <c r="D52" t="s" s="47">
        <v>1114</v>
      </c>
      <c r="E52" s="58"/>
    </row>
    <row r="53" ht="15.75" customHeight="1">
      <c r="A53" t="s" s="47">
        <v>675</v>
      </c>
      <c r="B53" t="s" s="47">
        <v>893</v>
      </c>
      <c r="C53" s="33">
        <v>2</v>
      </c>
      <c r="D53" t="s" s="47">
        <v>1115</v>
      </c>
      <c r="E53" s="58"/>
    </row>
    <row r="54" ht="15.75" customHeight="1">
      <c r="A54" t="s" s="47">
        <v>675</v>
      </c>
      <c r="B54" t="s" s="47">
        <v>893</v>
      </c>
      <c r="C54" s="33">
        <v>3</v>
      </c>
      <c r="D54" t="s" s="47">
        <v>1116</v>
      </c>
      <c r="E54" s="58"/>
    </row>
    <row r="55" ht="15.75" customHeight="1">
      <c r="A55" t="s" s="47">
        <v>717</v>
      </c>
      <c r="B55" t="s" s="47">
        <v>896</v>
      </c>
      <c r="C55" s="33">
        <v>1</v>
      </c>
      <c r="D55" t="s" s="47">
        <v>1117</v>
      </c>
      <c r="E55" s="58"/>
    </row>
    <row r="56" ht="15.75" customHeight="1">
      <c r="A56" t="s" s="47">
        <v>717</v>
      </c>
      <c r="B56" t="s" s="47">
        <v>896</v>
      </c>
      <c r="C56" s="33">
        <v>2</v>
      </c>
      <c r="D56" t="s" s="47">
        <v>1118</v>
      </c>
      <c r="E56" s="58"/>
    </row>
    <row r="57" ht="15.75" customHeight="1">
      <c r="A57" t="s" s="47">
        <v>717</v>
      </c>
      <c r="B57" t="s" s="47">
        <v>896</v>
      </c>
      <c r="C57" s="33">
        <v>3</v>
      </c>
      <c r="D57" t="s" s="47">
        <v>1119</v>
      </c>
      <c r="E57" s="58"/>
    </row>
    <row r="58" ht="15.75" customHeight="1">
      <c r="A58" t="s" s="47">
        <v>753</v>
      </c>
      <c r="B58" t="s" s="47">
        <v>899</v>
      </c>
      <c r="C58" s="33">
        <v>1</v>
      </c>
      <c r="D58" t="s" s="47">
        <v>1120</v>
      </c>
      <c r="E58" s="58"/>
    </row>
    <row r="59" ht="15.75" customHeight="1">
      <c r="A59" t="s" s="47">
        <v>753</v>
      </c>
      <c r="B59" t="s" s="47">
        <v>899</v>
      </c>
      <c r="C59" s="33">
        <v>2</v>
      </c>
      <c r="D59" t="s" s="47">
        <v>1121</v>
      </c>
      <c r="E59" s="58"/>
    </row>
    <row r="60" ht="15.75" customHeight="1">
      <c r="A60" t="s" s="47">
        <v>753</v>
      </c>
      <c r="B60" t="s" s="47">
        <v>899</v>
      </c>
      <c r="C60" s="33">
        <v>3</v>
      </c>
      <c r="D60" t="s" s="47">
        <v>1122</v>
      </c>
      <c r="E60" s="58"/>
    </row>
    <row r="61" ht="15.75" customHeight="1">
      <c r="A61" t="s" s="47">
        <v>786</v>
      </c>
      <c r="B61" t="s" s="47">
        <v>902</v>
      </c>
      <c r="C61" s="33">
        <v>1</v>
      </c>
      <c r="D61" t="s" s="47">
        <v>1123</v>
      </c>
      <c r="E61" s="58"/>
    </row>
    <row r="62" ht="15.75" customHeight="1">
      <c r="A62" t="s" s="47">
        <v>786</v>
      </c>
      <c r="B62" t="s" s="47">
        <v>902</v>
      </c>
      <c r="C62" s="33">
        <v>2</v>
      </c>
      <c r="D62" t="s" s="47">
        <v>1124</v>
      </c>
      <c r="E62" s="58"/>
    </row>
    <row r="63" ht="15.75" customHeight="1">
      <c r="A63" t="s" s="47">
        <v>786</v>
      </c>
      <c r="B63" t="s" s="47">
        <v>902</v>
      </c>
      <c r="C63" s="33">
        <v>3</v>
      </c>
      <c r="D63" t="s" s="47">
        <v>1125</v>
      </c>
      <c r="E63" s="58"/>
    </row>
  </sheetData>
  <pageMargins left="0.75" right="0.75" top="1" bottom="1" header="0" footer="0"/>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